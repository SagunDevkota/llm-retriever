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agundevkota/Documents/opensource/hierarchical-rag/data_evaluation/django-rest-framework/"/>
    </mc:Choice>
  </mc:AlternateContent>
  <xr:revisionPtr revIDLastSave="0" documentId="13_ncr:1_{9146442C-8115-944A-A9D9-B451D589D2E7}" xr6:coauthVersionLast="47" xr6:coauthVersionMax="47" xr10:uidLastSave="{00000000-0000-0000-0000-000000000000}"/>
  <bookViews>
    <workbookView xWindow="0" yWindow="760" windowWidth="30240" windowHeight="17260" activeTab="1" xr2:uid="{00000000-000D-0000-FFFF-FFFF00000000}"/>
  </bookViews>
  <sheets>
    <sheet name="RAG Comparis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2" l="1"/>
  <c r="C72" i="2"/>
  <c r="B72" i="2"/>
  <c r="D71" i="2"/>
  <c r="C71" i="2"/>
  <c r="B71" i="2"/>
  <c r="D70" i="2"/>
  <c r="C70" i="2"/>
  <c r="B70" i="2"/>
  <c r="D69" i="2"/>
  <c r="C69" i="2"/>
  <c r="B69" i="2"/>
  <c r="D64" i="2"/>
  <c r="C64" i="2"/>
  <c r="B64" i="2"/>
  <c r="D63" i="2"/>
  <c r="C63" i="2"/>
  <c r="B63" i="2"/>
  <c r="D62" i="2"/>
  <c r="C62" i="2"/>
  <c r="B62" i="2"/>
  <c r="D61" i="2"/>
  <c r="C61" i="2"/>
  <c r="B61" i="2"/>
  <c r="D56" i="2"/>
  <c r="C56" i="2"/>
  <c r="B56" i="2"/>
  <c r="D55" i="2"/>
  <c r="C55" i="2"/>
  <c r="B55" i="2"/>
  <c r="D54" i="2"/>
  <c r="C54" i="2"/>
  <c r="B54" i="2"/>
  <c r="D53" i="2"/>
  <c r="C53" i="2"/>
  <c r="B53" i="2"/>
  <c r="D48" i="2"/>
  <c r="C48" i="2"/>
  <c r="B48" i="2"/>
  <c r="D47" i="2"/>
  <c r="C47" i="2"/>
  <c r="B47" i="2"/>
  <c r="D46" i="2"/>
  <c r="C46" i="2"/>
  <c r="B46" i="2"/>
  <c r="D45" i="2"/>
  <c r="C45" i="2"/>
  <c r="B45" i="2"/>
  <c r="B5" i="2"/>
  <c r="C5" i="2"/>
  <c r="D5" i="2"/>
  <c r="B6" i="2"/>
  <c r="C6" i="2"/>
  <c r="D6" i="2"/>
  <c r="B7" i="2"/>
  <c r="C7" i="2"/>
  <c r="D7" i="2"/>
  <c r="B8" i="2"/>
  <c r="C8" i="2"/>
  <c r="D8" i="2"/>
  <c r="B13" i="2"/>
  <c r="C13" i="2"/>
  <c r="D13" i="2"/>
  <c r="B14" i="2"/>
  <c r="C14" i="2"/>
  <c r="D14" i="2"/>
  <c r="B15" i="2"/>
  <c r="C15" i="2"/>
  <c r="D15" i="2"/>
  <c r="B16" i="2"/>
  <c r="C16" i="2"/>
  <c r="D16" i="2"/>
  <c r="B21" i="2"/>
  <c r="C21" i="2"/>
  <c r="D21" i="2"/>
  <c r="B22" i="2"/>
  <c r="C22" i="2"/>
  <c r="D22" i="2"/>
  <c r="B23" i="2"/>
  <c r="C23" i="2"/>
  <c r="D23" i="2"/>
  <c r="B24" i="2"/>
  <c r="C24" i="2"/>
  <c r="D24" i="2"/>
  <c r="B29" i="2"/>
  <c r="C29" i="2"/>
  <c r="D29" i="2"/>
  <c r="B30" i="2"/>
  <c r="C30" i="2"/>
  <c r="D30" i="2"/>
  <c r="B31" i="2"/>
  <c r="C31" i="2"/>
  <c r="D31" i="2"/>
  <c r="B32" i="2"/>
  <c r="C32" i="2"/>
  <c r="D32" i="2"/>
  <c r="B37" i="2"/>
  <c r="C37" i="2"/>
  <c r="D37" i="2"/>
  <c r="B38" i="2"/>
  <c r="C38" i="2"/>
  <c r="D38" i="2"/>
  <c r="B39" i="2"/>
  <c r="C39" i="2"/>
  <c r="D39" i="2"/>
  <c r="B40" i="2"/>
  <c r="C40" i="2"/>
  <c r="D40" i="2"/>
</calcChain>
</file>

<file path=xl/sharedStrings.xml><?xml version="1.0" encoding="utf-8"?>
<sst xmlns="http://schemas.openxmlformats.org/spreadsheetml/2006/main" count="122" uniqueCount="34">
  <si>
    <t>question_type</t>
  </si>
  <si>
    <t>rag</t>
  </si>
  <si>
    <t>context_precision</t>
  </si>
  <si>
    <t>context_recall</t>
  </si>
  <si>
    <t>helpfulness</t>
  </si>
  <si>
    <t>answer_accuracy</t>
  </si>
  <si>
    <t>factual_correctness</t>
  </si>
  <si>
    <t>rouge_score(mode=precision)</t>
  </si>
  <si>
    <t>rouge_score(mode=recall)</t>
  </si>
  <si>
    <t>llm_calls</t>
  </si>
  <si>
    <t>total_cost</t>
  </si>
  <si>
    <t>total_tokens</t>
  </si>
  <si>
    <t>routing_cost</t>
  </si>
  <si>
    <t>routing_tokens</t>
  </si>
  <si>
    <t>generation_cost</t>
  </si>
  <si>
    <t>generation_tokens</t>
  </si>
  <si>
    <t>straightforward</t>
  </si>
  <si>
    <t>LLM Retriever</t>
  </si>
  <si>
    <t>Naive RAG</t>
  </si>
  <si>
    <t>RAPTOR</t>
  </si>
  <si>
    <t>multi_hop</t>
  </si>
  <si>
    <t>intent_driven</t>
  </si>
  <si>
    <t>debugging</t>
  </si>
  <si>
    <t>RAG Comparison by Question Type</t>
  </si>
  <si>
    <t>Context Precision (higher is better)</t>
  </si>
  <si>
    <t>Question Type</t>
  </si>
  <si>
    <t>Context Recall (higher is better)</t>
  </si>
  <si>
    <t>Answer Accuracy (higher is better)</t>
  </si>
  <si>
    <t>Helpfulness (1-5) (higher is better)</t>
  </si>
  <si>
    <t>Factual Correctness (higher is better)</t>
  </si>
  <si>
    <t>Total Cost ($ per query) (lower is better)</t>
  </si>
  <si>
    <t>Generation Cost ($ per query) (lower is better)</t>
  </si>
  <si>
    <t>Total Tokens (per query) (lower is better)</t>
  </si>
  <si>
    <t>Generation Tokens (per query) (lower is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</si>
</sst>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$-409]0.000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Context Precision by Question Type (higher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Sheet1!$B$5:$B$8</c:f>
              <c:numCache>
                <c:formatCode>0.0%</c:formatCode>
                <c:ptCount val="4"/>
                <c:pt idx="0">
                  <c:v>0.87670000000000003</c:v>
                </c:pt>
                <c:pt idx="1">
                  <c:v>0.81220000000000003</c:v>
                </c:pt>
                <c:pt idx="2">
                  <c:v>0.78349999999999997</c:v>
                </c:pt>
                <c:pt idx="3">
                  <c:v>0.93520000000000003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9-FF4D-B1EE-D0F57C2AE262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Sheet1!$C$5:$C$8</c:f>
              <c:numCache>
                <c:formatCode>0.0%</c:formatCode>
                <c:ptCount val="4"/>
                <c:pt idx="0">
                  <c:v>0.74719999999999998</c:v>
                </c:pt>
                <c:pt idx="1">
                  <c:v>0.64539999999999997</c:v>
                </c:pt>
                <c:pt idx="2">
                  <c:v>0.44779999999999998</c:v>
                </c:pt>
                <c:pt idx="3">
                  <c:v>0.76180000000000003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9-FF4D-B1EE-D0F57C2AE262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Sheet1!$D$5:$D$8</c:f>
              <c:numCache>
                <c:formatCode>0.0%</c:formatCode>
                <c:ptCount val="4"/>
                <c:pt idx="0">
                  <c:v>0.74970000000000003</c:v>
                </c:pt>
                <c:pt idx="1">
                  <c:v>0.67290000000000005</c:v>
                </c:pt>
                <c:pt idx="2">
                  <c:v>0.53449999999999998</c:v>
                </c:pt>
                <c:pt idx="3">
                  <c:v>0.72760000000000002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39-FF4D-B1EE-D0F57C2A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177439"/>
        <c:axId val="433829535"/>
      </c:barChart>
      <c:catAx>
        <c:axId val="80317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433829535"/>
        <c:crosses val="autoZero"/>
        <c:auto val="1"/>
        <c:lblAlgn val="ctr"/>
        <c:lblOffset val="100"/>
        <c:noMultiLvlLbl val="0"/>
      </c:catAx>
      <c:valAx>
        <c:axId val="4338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80317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Context Recall by Question Type (higher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Sheet1!$B$13:$B$16</c:f>
              <c:numCache>
                <c:formatCode>0.0%</c:formatCode>
                <c:ptCount val="4"/>
                <c:pt idx="0">
                  <c:v>0.98670000000000002</c:v>
                </c:pt>
                <c:pt idx="1">
                  <c:v>0.86629999999999996</c:v>
                </c:pt>
                <c:pt idx="2">
                  <c:v>0.87670000000000003</c:v>
                </c:pt>
                <c:pt idx="3">
                  <c:v>0.9667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0-C94E-9F64-832471D359CB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Sheet1!$A$13:$A$16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Sheet1!$C$13:$C$16</c:f>
              <c:numCache>
                <c:formatCode>0.0%</c:formatCode>
                <c:ptCount val="4"/>
                <c:pt idx="0">
                  <c:v>0.9133</c:v>
                </c:pt>
                <c:pt idx="1">
                  <c:v>0.90869999999999995</c:v>
                </c:pt>
                <c:pt idx="2">
                  <c:v>0.66</c:v>
                </c:pt>
                <c:pt idx="3">
                  <c:v>0.95330000000000004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0-C94E-9F64-832471D359CB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Sheet1!$A$13:$A$16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Sheet1!$D$13:$D$16</c:f>
              <c:numCache>
                <c:formatCode>0.0%</c:formatCode>
                <c:ptCount val="4"/>
                <c:pt idx="0">
                  <c:v>0.92669999999999997</c:v>
                </c:pt>
                <c:pt idx="1">
                  <c:v>0.91259999999999997</c:v>
                </c:pt>
                <c:pt idx="2">
                  <c:v>0.76670000000000005</c:v>
                </c:pt>
                <c:pt idx="3">
                  <c:v>0.92669999999999997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0-C94E-9F64-832471D35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733407"/>
        <c:axId val="450735119"/>
      </c:barChart>
      <c:catAx>
        <c:axId val="45073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450735119"/>
        <c:crosses val="autoZero"/>
        <c:auto val="1"/>
        <c:lblAlgn val="ctr"/>
        <c:lblOffset val="100"/>
        <c:noMultiLvlLbl val="0"/>
      </c:catAx>
      <c:valAx>
        <c:axId val="4507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45073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Answer Accuracy by Question Type (higher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Sheet1!$A$21:$A$24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Sheet1!$B$21:$B$24</c:f>
              <c:numCache>
                <c:formatCode>0.0%</c:formatCode>
                <c:ptCount val="4"/>
                <c:pt idx="0">
                  <c:v>0.92</c:v>
                </c:pt>
                <c:pt idx="1">
                  <c:v>0.94</c:v>
                </c:pt>
                <c:pt idx="2">
                  <c:v>0.9</c:v>
                </c:pt>
                <c:pt idx="3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5-434B-B0BF-1CDC49466EFD}"/>
            </c:ext>
          </c:extLst>
        </c:ser>
        <c:ser>
          <c:idx val="1"/>
          <c:order val="1"/>
          <c:tx>
            <c:strRef>
              <c:f>Sheet1!$C$20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Sheet1!$A$21:$A$24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Sheet1!$C$21:$C$24</c:f>
              <c:numCache>
                <c:formatCode>0.0%</c:formatCode>
                <c:ptCount val="4"/>
                <c:pt idx="0">
                  <c:v>0.86</c:v>
                </c:pt>
                <c:pt idx="1">
                  <c:v>0.93</c:v>
                </c:pt>
                <c:pt idx="2">
                  <c:v>0.77</c:v>
                </c:pt>
                <c:pt idx="3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5-434B-B0BF-1CDC49466EFD}"/>
            </c:ext>
          </c:extLst>
        </c:ser>
        <c:ser>
          <c:idx val="2"/>
          <c:order val="2"/>
          <c:tx>
            <c:strRef>
              <c:f>Sheet1!$D$20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Sheet1!$A$21:$A$24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Sheet1!$D$21:$D$24</c:f>
              <c:numCache>
                <c:formatCode>0.0%</c:formatCode>
                <c:ptCount val="4"/>
                <c:pt idx="0">
                  <c:v>0.89</c:v>
                </c:pt>
                <c:pt idx="1">
                  <c:v>0.96</c:v>
                </c:pt>
                <c:pt idx="2">
                  <c:v>0.83</c:v>
                </c:pt>
                <c:pt idx="3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75-434B-B0BF-1CDC49466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216864"/>
        <c:axId val="1632218576"/>
      </c:barChart>
      <c:catAx>
        <c:axId val="163221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632218576"/>
        <c:crosses val="autoZero"/>
        <c:auto val="1"/>
        <c:lblAlgn val="ctr"/>
        <c:lblOffset val="100"/>
        <c:noMultiLvlLbl val="0"/>
      </c:catAx>
      <c:valAx>
        <c:axId val="16322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63221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Helpfulness by Question Type (higher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Sheet1!$A$29:$A$32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Sheet1!$B$29:$B$32</c:f>
              <c:numCache>
                <c:formatCode>0.00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C-8243-9353-8A2DC61DA739}"/>
            </c:ext>
          </c:extLst>
        </c:ser>
        <c:ser>
          <c:idx val="1"/>
          <c:order val="1"/>
          <c:tx>
            <c:strRef>
              <c:f>Sheet1!$C$28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Sheet1!$A$29:$A$32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Sheet1!$C$29:$C$32</c:f>
              <c:numCache>
                <c:formatCode>0.00</c:formatCode>
                <c:ptCount val="4"/>
                <c:pt idx="0">
                  <c:v>4.8</c:v>
                </c:pt>
                <c:pt idx="1">
                  <c:v>4.8</c:v>
                </c:pt>
                <c:pt idx="2">
                  <c:v>4.6399999999999997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C-8243-9353-8A2DC61DA739}"/>
            </c:ext>
          </c:extLst>
        </c:ser>
        <c:ser>
          <c:idx val="2"/>
          <c:order val="2"/>
          <c:tx>
            <c:strRef>
              <c:f>Sheet1!$D$28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Sheet1!$A$29:$A$32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Sheet1!$D$29:$D$32</c:f>
              <c:numCache>
                <c:formatCode>0.00</c:formatCode>
                <c:ptCount val="4"/>
                <c:pt idx="0">
                  <c:v>4.84</c:v>
                </c:pt>
                <c:pt idx="1">
                  <c:v>5</c:v>
                </c:pt>
                <c:pt idx="2">
                  <c:v>4.72</c:v>
                </c:pt>
                <c:pt idx="3">
                  <c:v>4.96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C-8243-9353-8A2DC61DA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637536"/>
        <c:axId val="2049136304"/>
      </c:barChart>
      <c:catAx>
        <c:axId val="20496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2049136304"/>
        <c:crosses val="autoZero"/>
        <c:auto val="1"/>
        <c:lblAlgn val="ctr"/>
        <c:lblOffset val="100"/>
        <c:noMultiLvlLbl val="0"/>
      </c:catAx>
      <c:valAx>
        <c:axId val="20491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20496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Factual Correctness by Question Type (higher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Sheet1!$A$37:$A$40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Sheet1!$B$37:$B$40</c:f>
              <c:numCache>
                <c:formatCode>0.0%</c:formatCode>
                <c:ptCount val="4"/>
                <c:pt idx="0">
                  <c:v>0.43480000000000002</c:v>
                </c:pt>
                <c:pt idx="1">
                  <c:v>0.51639999999999997</c:v>
                </c:pt>
                <c:pt idx="2">
                  <c:v>0.46879999999999999</c:v>
                </c:pt>
                <c:pt idx="3">
                  <c:v>0.63680000000000003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4-0B4A-ABE6-B0BD9FEB657F}"/>
            </c:ext>
          </c:extLst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Sheet1!$A$37:$A$40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Sheet1!$C$37:$C$40</c:f>
              <c:numCache>
                <c:formatCode>0.0%</c:formatCode>
                <c:ptCount val="4"/>
                <c:pt idx="0">
                  <c:v>0.45760000000000001</c:v>
                </c:pt>
                <c:pt idx="1">
                  <c:v>0.48799999999999999</c:v>
                </c:pt>
                <c:pt idx="2">
                  <c:v>0.38319999999999999</c:v>
                </c:pt>
                <c:pt idx="3">
                  <c:v>0.59040000000000004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4-0B4A-ABE6-B0BD9FEB657F}"/>
            </c:ext>
          </c:extLst>
        </c:ser>
        <c:ser>
          <c:idx val="2"/>
          <c:order val="2"/>
          <c:tx>
            <c:strRef>
              <c:f>Sheet1!$D$36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Sheet1!$A$37:$A$40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Sheet1!$D$37:$D$40</c:f>
              <c:numCache>
                <c:formatCode>0.0%</c:formatCode>
                <c:ptCount val="4"/>
                <c:pt idx="0">
                  <c:v>0.48080000000000001</c:v>
                </c:pt>
                <c:pt idx="1">
                  <c:v>0.50439999999999996</c:v>
                </c:pt>
                <c:pt idx="2">
                  <c:v>0.4052</c:v>
                </c:pt>
                <c:pt idx="3">
                  <c:v>0.61439999999999995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4-0B4A-ABE6-B0BD9FEB6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936543"/>
        <c:axId val="450094687"/>
      </c:barChart>
      <c:catAx>
        <c:axId val="44993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450094687"/>
        <c:crosses val="autoZero"/>
        <c:auto val="1"/>
        <c:lblAlgn val="ctr"/>
        <c:lblOffset val="100"/>
        <c:noMultiLvlLbl val="0"/>
      </c:catAx>
      <c:valAx>
        <c:axId val="45009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44993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by Question Type (lower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Sheet1!$B$44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Sheet1!$A$45:$A$48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Sheet1!$B$45:$B$48</c:f>
              <c:numCache>
                <c:formatCode>[$$-409]0.000000</c:formatCode>
                <c:ptCount val="4"/>
                <c:pt idx="0">
                  <c:v>4.8690000000000001E-3</c:v>
                </c:pt>
                <c:pt idx="1">
                  <c:v>5.9329999999999999E-3</c:v>
                </c:pt>
                <c:pt idx="2">
                  <c:v>5.4819999999999999E-3</c:v>
                </c:pt>
                <c:pt idx="3">
                  <c:v>5.6839999999999998E-3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E-C143-91FF-FDB3CE50864D}"/>
            </c:ext>
          </c:extLst>
        </c:ser>
        <c:ser>
          <c:idx val="1"/>
          <c:order val="1"/>
          <c:tx>
            <c:strRef>
              <c:f>Sheet1!$C$44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Sheet1!$A$45:$A$48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Sheet1!$C$45:$C$48</c:f>
              <c:numCache>
                <c:formatCode>[$$-409]0.000000</c:formatCode>
                <c:ptCount val="4"/>
                <c:pt idx="0">
                  <c:v>7.27E-4</c:v>
                </c:pt>
                <c:pt idx="1">
                  <c:v>8.34E-4</c:v>
                </c:pt>
                <c:pt idx="2">
                  <c:v>8.61E-4</c:v>
                </c:pt>
                <c:pt idx="3">
                  <c:v>8.4500000000000005E-4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E-C143-91FF-FDB3CE50864D}"/>
            </c:ext>
          </c:extLst>
        </c:ser>
        <c:ser>
          <c:idx val="2"/>
          <c:order val="2"/>
          <c:tx>
            <c:strRef>
              <c:f>Sheet1!$D$44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Sheet1!$A$45:$A$48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Sheet1!$D$45:$D$48</c:f>
              <c:numCache>
                <c:formatCode>[$$-409]0.000000</c:formatCode>
                <c:ptCount val="4"/>
                <c:pt idx="0">
                  <c:v>7.67E-4</c:v>
                </c:pt>
                <c:pt idx="1">
                  <c:v>8.9599999999999999E-4</c:v>
                </c:pt>
                <c:pt idx="2">
                  <c:v>9.19E-4</c:v>
                </c:pt>
                <c:pt idx="3">
                  <c:v>8.6899999999999998E-4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E-C143-91FF-FDB3CE508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892080"/>
        <c:axId val="276381216"/>
      </c:barChart>
      <c:catAx>
        <c:axId val="27589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276381216"/>
        <c:crosses val="autoZero"/>
        <c:auto val="1"/>
        <c:lblAlgn val="ctr"/>
        <c:lblOffset val="100"/>
        <c:noMultiLvlLbl val="0"/>
      </c:catAx>
      <c:valAx>
        <c:axId val="2763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27589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Cost by Question Type (lower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Sheet1!$A$53:$A$56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Sheet1!$B$53:$B$56</c:f>
              <c:numCache>
                <c:formatCode>[$$-409]0.000000</c:formatCode>
                <c:ptCount val="4"/>
                <c:pt idx="0">
                  <c:v>5.5900000000000004E-4</c:v>
                </c:pt>
                <c:pt idx="1">
                  <c:v>8.3000000000000001E-4</c:v>
                </c:pt>
                <c:pt idx="2">
                  <c:v>8.7900000000000001E-4</c:v>
                </c:pt>
                <c:pt idx="3">
                  <c:v>7.27E-4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1-1742-AB0C-AF09A3F4D327}"/>
            </c:ext>
          </c:extLst>
        </c:ser>
        <c:ser>
          <c:idx val="1"/>
          <c:order val="1"/>
          <c:tx>
            <c:strRef>
              <c:f>Sheet1!$C$52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Sheet1!$A$53:$A$56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Sheet1!$C$53:$C$56</c:f>
              <c:numCache>
                <c:formatCode>[$$-409]0.000000</c:formatCode>
                <c:ptCount val="4"/>
                <c:pt idx="0">
                  <c:v>7.27E-4</c:v>
                </c:pt>
                <c:pt idx="1">
                  <c:v>8.34E-4</c:v>
                </c:pt>
                <c:pt idx="2">
                  <c:v>8.61E-4</c:v>
                </c:pt>
                <c:pt idx="3">
                  <c:v>8.4500000000000005E-4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1-1742-AB0C-AF09A3F4D327}"/>
            </c:ext>
          </c:extLst>
        </c:ser>
        <c:ser>
          <c:idx val="2"/>
          <c:order val="2"/>
          <c:tx>
            <c:strRef>
              <c:f>Sheet1!$D$52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Sheet1!$A$53:$A$56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Sheet1!$D$53:$D$56</c:f>
              <c:numCache>
                <c:formatCode>[$$-409]0.000000</c:formatCode>
                <c:ptCount val="4"/>
                <c:pt idx="0">
                  <c:v>7.67E-4</c:v>
                </c:pt>
                <c:pt idx="1">
                  <c:v>8.9599999999999999E-4</c:v>
                </c:pt>
                <c:pt idx="2">
                  <c:v>9.19E-4</c:v>
                </c:pt>
                <c:pt idx="3">
                  <c:v>8.6899999999999998E-4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21-1742-AB0C-AF09A3F4D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556336"/>
        <c:axId val="1970885343"/>
      </c:barChart>
      <c:catAx>
        <c:axId val="173055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970885343"/>
        <c:crosses val="autoZero"/>
        <c:auto val="1"/>
        <c:lblAlgn val="ctr"/>
        <c:lblOffset val="100"/>
        <c:noMultiLvlLbl val="0"/>
      </c:catAx>
      <c:valAx>
        <c:axId val="197088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73055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Tokens by Question Type (lower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Sheet1!$B$60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Sheet1!$A$61:$A$64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Sheet1!$B$61:$B$64</c:f>
              <c:numCache>
                <c:formatCode>#,##0</c:formatCode>
                <c:ptCount val="4"/>
                <c:pt idx="0">
                  <c:v>17644.04</c:v>
                </c:pt>
                <c:pt idx="1">
                  <c:v>20830.88</c:v>
                </c:pt>
                <c:pt idx="2">
                  <c:v>18965.64</c:v>
                </c:pt>
                <c:pt idx="3">
                  <c:v>20426.68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B-ED45-9E71-3177D7503961}"/>
            </c:ext>
          </c:extLst>
        </c:ser>
        <c:ser>
          <c:idx val="1"/>
          <c:order val="1"/>
          <c:tx>
            <c:strRef>
              <c:f>Sheet1!$C$60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Sheet1!$A$61:$A$64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Sheet1!$C$61:$C$64</c:f>
              <c:numCache>
                <c:formatCode>#,##0</c:formatCode>
                <c:ptCount val="4"/>
                <c:pt idx="0">
                  <c:v>2154</c:v>
                </c:pt>
                <c:pt idx="1">
                  <c:v>2297.6</c:v>
                </c:pt>
                <c:pt idx="2">
                  <c:v>2302.16</c:v>
                </c:pt>
                <c:pt idx="3">
                  <c:v>2444.88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FB-ED45-9E71-3177D7503961}"/>
            </c:ext>
          </c:extLst>
        </c:ser>
        <c:ser>
          <c:idx val="2"/>
          <c:order val="2"/>
          <c:tx>
            <c:strRef>
              <c:f>Sheet1!$D$60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Sheet1!$A$61:$A$64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Sheet1!$D$61:$D$64</c:f>
              <c:numCache>
                <c:formatCode>#,##0</c:formatCode>
                <c:ptCount val="4"/>
                <c:pt idx="0">
                  <c:v>2287.6799999999998</c:v>
                </c:pt>
                <c:pt idx="1">
                  <c:v>2416.88</c:v>
                </c:pt>
                <c:pt idx="2">
                  <c:v>2438.08</c:v>
                </c:pt>
                <c:pt idx="3">
                  <c:v>2483.96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FB-ED45-9E71-3177D7503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172047"/>
        <c:axId val="1780558767"/>
      </c:barChart>
      <c:catAx>
        <c:axId val="45017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780558767"/>
        <c:crosses val="autoZero"/>
        <c:auto val="1"/>
        <c:lblAlgn val="ctr"/>
        <c:lblOffset val="100"/>
        <c:noMultiLvlLbl val="0"/>
      </c:catAx>
      <c:valAx>
        <c:axId val="178055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45017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Tokens by Question Type (lower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Sheet1!$B$68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Sheet1!$A$69:$A$72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Sheet1!$B$69:$B$72</c:f>
              <c:numCache>
                <c:formatCode>#,##0</c:formatCode>
                <c:ptCount val="4"/>
                <c:pt idx="0">
                  <c:v>1262.76</c:v>
                </c:pt>
                <c:pt idx="1">
                  <c:v>1979.64</c:v>
                </c:pt>
                <c:pt idx="2">
                  <c:v>1905.36</c:v>
                </c:pt>
                <c:pt idx="3">
                  <c:v>1708.24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D-C744-B9FB-56AE9730F984}"/>
            </c:ext>
          </c:extLst>
        </c:ser>
        <c:ser>
          <c:idx val="1"/>
          <c:order val="1"/>
          <c:tx>
            <c:strRef>
              <c:f>Sheet1!$C$68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Sheet1!$A$69:$A$72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Sheet1!$C$69:$C$72</c:f>
              <c:numCache>
                <c:formatCode>#,##0</c:formatCode>
                <c:ptCount val="4"/>
                <c:pt idx="0">
                  <c:v>2154</c:v>
                </c:pt>
                <c:pt idx="1">
                  <c:v>2297.6</c:v>
                </c:pt>
                <c:pt idx="2">
                  <c:v>2302.16</c:v>
                </c:pt>
                <c:pt idx="3">
                  <c:v>2444.88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D-C744-B9FB-56AE9730F984}"/>
            </c:ext>
          </c:extLst>
        </c:ser>
        <c:ser>
          <c:idx val="2"/>
          <c:order val="2"/>
          <c:tx>
            <c:strRef>
              <c:f>Sheet1!$D$68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Sheet1!$A$69:$A$72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Sheet1!$D$69:$D$72</c:f>
              <c:numCache>
                <c:formatCode>#,##0</c:formatCode>
                <c:ptCount val="4"/>
                <c:pt idx="0">
                  <c:v>2287.6799999999998</c:v>
                </c:pt>
                <c:pt idx="1">
                  <c:v>2416.88</c:v>
                </c:pt>
                <c:pt idx="2">
                  <c:v>2438.08</c:v>
                </c:pt>
                <c:pt idx="3">
                  <c:v>2483.96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7D-C744-B9FB-56AE9730F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662320"/>
        <c:axId val="1618666592"/>
      </c:barChart>
      <c:catAx>
        <c:axId val="16186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618666592"/>
        <c:crosses val="autoZero"/>
        <c:auto val="1"/>
        <c:lblAlgn val="ctr"/>
        <c:lblOffset val="100"/>
        <c:noMultiLvlLbl val="0"/>
      </c:catAx>
      <c:valAx>
        <c:axId val="16186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61866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139700</xdr:rowOff>
    </xdr:from>
    <xdr:to>
      <xdr:col>12</xdr:col>
      <xdr:colOff>228600</xdr:colOff>
      <xdr:row>18</xdr:row>
      <xdr:rowOff>76200</xdr:rowOff>
    </xdr:to>
    <xdr:graphicFrame macro="">
      <xdr:nvGraphicFramePr>
        <xdr:cNvPr id="2" name="Context Precision">
          <a:extLst>
            <a:ext uri="{FF2B5EF4-FFF2-40B4-BE49-F238E27FC236}">
              <a16:creationId xmlns:a16="http://schemas.microsoft.com/office/drawing/2014/main" id="{91D500FD-B2A6-8D44-9C27-F1E85117C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215900</xdr:colOff>
      <xdr:row>19</xdr:row>
      <xdr:rowOff>12700</xdr:rowOff>
    </xdr:from>
    <xdr:to>
      <xdr:col>12</xdr:col>
      <xdr:colOff>215900</xdr:colOff>
      <xdr:row>35</xdr:row>
      <xdr:rowOff>139700</xdr:rowOff>
    </xdr:to>
    <xdr:graphicFrame macro="">
      <xdr:nvGraphicFramePr>
        <xdr:cNvPr id="3" name="Context Recall">
          <a:extLst>
            <a:ext uri="{FF2B5EF4-FFF2-40B4-BE49-F238E27FC236}">
              <a16:creationId xmlns:a16="http://schemas.microsoft.com/office/drawing/2014/main" id="{22A5E4B1-95B8-B740-BBA1-3D2B34F13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266700</xdr:colOff>
      <xdr:row>37</xdr:row>
      <xdr:rowOff>0</xdr:rowOff>
    </xdr:from>
    <xdr:to>
      <xdr:col>12</xdr:col>
      <xdr:colOff>266700</xdr:colOff>
      <xdr:row>53</xdr:row>
      <xdr:rowOff>127000</xdr:rowOff>
    </xdr:to>
    <xdr:graphicFrame macro="">
      <xdr:nvGraphicFramePr>
        <xdr:cNvPr id="4" name="Answer Accuracy">
          <a:extLst>
            <a:ext uri="{FF2B5EF4-FFF2-40B4-BE49-F238E27FC236}">
              <a16:creationId xmlns:a16="http://schemas.microsoft.com/office/drawing/2014/main" id="{28D4AC7C-0DB7-D248-ABFE-DF54A313A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279400</xdr:colOff>
      <xdr:row>55</xdr:row>
      <xdr:rowOff>50800</xdr:rowOff>
    </xdr:from>
    <xdr:to>
      <xdr:col>12</xdr:col>
      <xdr:colOff>279400</xdr:colOff>
      <xdr:row>71</xdr:row>
      <xdr:rowOff>177800</xdr:rowOff>
    </xdr:to>
    <xdr:graphicFrame macro="">
      <xdr:nvGraphicFramePr>
        <xdr:cNvPr id="5" name="Helpfulness (1-5)">
          <a:extLst>
            <a:ext uri="{FF2B5EF4-FFF2-40B4-BE49-F238E27FC236}">
              <a16:creationId xmlns:a16="http://schemas.microsoft.com/office/drawing/2014/main" id="{73BCDAF8-4112-8649-AA35-D1C83D6C5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266700</xdr:colOff>
      <xdr:row>73</xdr:row>
      <xdr:rowOff>12700</xdr:rowOff>
    </xdr:from>
    <xdr:to>
      <xdr:col>12</xdr:col>
      <xdr:colOff>266700</xdr:colOff>
      <xdr:row>89</xdr:row>
      <xdr:rowOff>139700</xdr:rowOff>
    </xdr:to>
    <xdr:graphicFrame macro="">
      <xdr:nvGraphicFramePr>
        <xdr:cNvPr id="6" name="Factual Correctness">
          <a:extLst>
            <a:ext uri="{FF2B5EF4-FFF2-40B4-BE49-F238E27FC236}">
              <a16:creationId xmlns:a16="http://schemas.microsoft.com/office/drawing/2014/main" id="{8E3C1D57-0204-F847-B84C-26AD381A0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279400</xdr:colOff>
      <xdr:row>90</xdr:row>
      <xdr:rowOff>177800</xdr:rowOff>
    </xdr:from>
    <xdr:to>
      <xdr:col>12</xdr:col>
      <xdr:colOff>279400</xdr:colOff>
      <xdr:row>107</xdr:row>
      <xdr:rowOff>114300</xdr:rowOff>
    </xdr:to>
    <xdr:graphicFrame macro="">
      <xdr:nvGraphicFramePr>
        <xdr:cNvPr id="7" name="Total Cost">
          <a:extLst>
            <a:ext uri="{FF2B5EF4-FFF2-40B4-BE49-F238E27FC236}">
              <a16:creationId xmlns:a16="http://schemas.microsoft.com/office/drawing/2014/main" id="{3CF90D6C-7479-3F4C-8BD4-8C565A82E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254000</xdr:colOff>
      <xdr:row>109</xdr:row>
      <xdr:rowOff>76200</xdr:rowOff>
    </xdr:from>
    <xdr:to>
      <xdr:col>12</xdr:col>
      <xdr:colOff>254000</xdr:colOff>
      <xdr:row>126</xdr:row>
      <xdr:rowOff>12700</xdr:rowOff>
    </xdr:to>
    <xdr:graphicFrame macro="">
      <xdr:nvGraphicFramePr>
        <xdr:cNvPr id="8" name="Generation Cost">
          <a:extLst>
            <a:ext uri="{FF2B5EF4-FFF2-40B4-BE49-F238E27FC236}">
              <a16:creationId xmlns:a16="http://schemas.microsoft.com/office/drawing/2014/main" id="{A29B4DE8-9125-6B4C-B926-57351DB95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241300</xdr:colOff>
      <xdr:row>127</xdr:row>
      <xdr:rowOff>25400</xdr:rowOff>
    </xdr:from>
    <xdr:to>
      <xdr:col>12</xdr:col>
      <xdr:colOff>241300</xdr:colOff>
      <xdr:row>143</xdr:row>
      <xdr:rowOff>152400</xdr:rowOff>
    </xdr:to>
    <xdr:graphicFrame macro="">
      <xdr:nvGraphicFramePr>
        <xdr:cNvPr id="9" name="Total Tokens">
          <a:extLst>
            <a:ext uri="{FF2B5EF4-FFF2-40B4-BE49-F238E27FC236}">
              <a16:creationId xmlns:a16="http://schemas.microsoft.com/office/drawing/2014/main" id="{E241C06B-C315-E3E6-FE5B-0485663EB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254000</xdr:colOff>
      <xdr:row>145</xdr:row>
      <xdr:rowOff>0</xdr:rowOff>
    </xdr:from>
    <xdr:to>
      <xdr:col>12</xdr:col>
      <xdr:colOff>254000</xdr:colOff>
      <xdr:row>161</xdr:row>
      <xdr:rowOff>127000</xdr:rowOff>
    </xdr:to>
    <xdr:graphicFrame macro="">
      <xdr:nvGraphicFramePr>
        <xdr:cNvPr id="10" name="Generation Tokens">
          <a:extLst>
            <a:ext uri="{FF2B5EF4-FFF2-40B4-BE49-F238E27FC236}">
              <a16:creationId xmlns:a16="http://schemas.microsoft.com/office/drawing/2014/main" id="{A03EF3BB-1334-0435-BEED-8F8B395A8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253D29-F825-E541-9D90-429CF7F4743C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bdaf6bc7-dc4b-4883-9e16-fc7d059e092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opLeftCell="D1" workbookViewId="0">
      <selection activeCell="G27" sqref="G27"/>
    </sheetView>
  </sheetViews>
  <sheetFormatPr baseColWidth="10" defaultColWidth="8.83203125" defaultRowHeight="15" x14ac:dyDescent="0.2"/>
  <cols>
    <col min="1" max="1" width="13" bestFit="1" customWidth="1"/>
    <col min="2" max="2" width="11.5" bestFit="1" customWidth="1"/>
    <col min="3" max="3" width="14.83203125" bestFit="1" customWidth="1"/>
    <col min="4" max="4" width="12" bestFit="1" customWidth="1"/>
    <col min="5" max="5" width="9.6640625" bestFit="1" customWidth="1"/>
    <col min="6" max="6" width="14" bestFit="1" customWidth="1"/>
    <col min="7" max="7" width="15.83203125" bestFit="1" customWidth="1"/>
    <col min="8" max="8" width="23.83203125" bestFit="1" customWidth="1"/>
    <col min="9" max="9" width="20.83203125" bestFit="1" customWidth="1"/>
    <col min="10" max="10" width="7.83203125" bestFit="1" customWidth="1"/>
    <col min="11" max="11" width="9.1640625" bestFit="1" customWidth="1"/>
    <col min="12" max="12" width="10.6640625" bestFit="1" customWidth="1"/>
    <col min="13" max="13" width="10.83203125" bestFit="1" customWidth="1"/>
    <col min="14" max="14" width="12.6640625" bestFit="1" customWidth="1"/>
    <col min="15" max="15" width="13.33203125" bestFit="1" customWidth="1"/>
    <col min="16" max="16" width="15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s="1">
        <v>0.87670000000000003</v>
      </c>
      <c r="D2" s="1">
        <v>0.98670000000000002</v>
      </c>
      <c r="E2" s="1">
        <v>5</v>
      </c>
      <c r="F2" s="1">
        <v>0.92</v>
      </c>
      <c r="G2">
        <v>0.43480000000000002</v>
      </c>
      <c r="H2">
        <v>0.1552</v>
      </c>
      <c r="I2" s="1">
        <v>0.58250000000000002</v>
      </c>
      <c r="J2">
        <v>4.8</v>
      </c>
      <c r="K2">
        <v>4.8690000000000001E-3</v>
      </c>
      <c r="L2">
        <v>17644.04</v>
      </c>
      <c r="M2">
        <v>4.3090000000000003E-3</v>
      </c>
      <c r="N2">
        <v>16381.28</v>
      </c>
      <c r="O2" s="1">
        <v>5.5900000000000004E-4</v>
      </c>
      <c r="P2" s="1">
        <v>1262.76</v>
      </c>
    </row>
    <row r="3" spans="1:16" x14ac:dyDescent="0.2">
      <c r="A3" t="s">
        <v>16</v>
      </c>
      <c r="B3" t="s">
        <v>18</v>
      </c>
      <c r="C3">
        <v>0.74719999999999998</v>
      </c>
      <c r="D3">
        <v>0.9133</v>
      </c>
      <c r="E3">
        <v>4.8</v>
      </c>
      <c r="F3">
        <v>0.86</v>
      </c>
      <c r="G3">
        <v>0.45760000000000001</v>
      </c>
      <c r="H3">
        <v>0.15740000000000001</v>
      </c>
      <c r="I3">
        <v>0.51219999999999999</v>
      </c>
      <c r="J3">
        <v>1</v>
      </c>
      <c r="K3" s="1">
        <v>7.27E-4</v>
      </c>
      <c r="L3" s="1">
        <v>2154</v>
      </c>
      <c r="O3">
        <v>7.27E-4</v>
      </c>
      <c r="P3">
        <v>2154</v>
      </c>
    </row>
    <row r="4" spans="1:16" x14ac:dyDescent="0.2">
      <c r="A4" t="s">
        <v>16</v>
      </c>
      <c r="B4" t="s">
        <v>19</v>
      </c>
      <c r="C4">
        <v>0.74970000000000003</v>
      </c>
      <c r="D4">
        <v>0.92669999999999997</v>
      </c>
      <c r="E4">
        <v>4.84</v>
      </c>
      <c r="F4">
        <v>0.89</v>
      </c>
      <c r="G4" s="1">
        <v>0.48080000000000001</v>
      </c>
      <c r="H4" s="1">
        <v>0.15890000000000001</v>
      </c>
      <c r="I4">
        <v>0.54290000000000005</v>
      </c>
      <c r="J4">
        <v>1</v>
      </c>
      <c r="K4">
        <v>7.67E-4</v>
      </c>
      <c r="L4">
        <v>2287.6799999999998</v>
      </c>
      <c r="O4">
        <v>7.67E-4</v>
      </c>
      <c r="P4">
        <v>2287.6799999999998</v>
      </c>
    </row>
    <row r="5" spans="1:16" x14ac:dyDescent="0.2">
      <c r="A5" t="s">
        <v>20</v>
      </c>
      <c r="B5" t="s">
        <v>17</v>
      </c>
      <c r="C5" s="1">
        <v>0.81220000000000003</v>
      </c>
      <c r="D5">
        <v>0.86629999999999996</v>
      </c>
      <c r="E5" s="1">
        <v>5</v>
      </c>
      <c r="F5">
        <v>0.94</v>
      </c>
      <c r="G5" s="1">
        <v>0.51639999999999997</v>
      </c>
      <c r="H5">
        <v>0.17960000000000001</v>
      </c>
      <c r="I5" s="1">
        <v>0.435</v>
      </c>
      <c r="J5">
        <v>4.92</v>
      </c>
      <c r="K5">
        <v>5.9329999999999999E-3</v>
      </c>
      <c r="L5">
        <v>20830.88</v>
      </c>
      <c r="M5">
        <v>5.1029999999999999E-3</v>
      </c>
      <c r="N5">
        <v>18851.240000000002</v>
      </c>
      <c r="O5" s="1">
        <v>8.3000000000000001E-4</v>
      </c>
      <c r="P5" s="1">
        <v>1979.64</v>
      </c>
    </row>
    <row r="6" spans="1:16" x14ac:dyDescent="0.2">
      <c r="A6" t="s">
        <v>20</v>
      </c>
      <c r="B6" t="s">
        <v>18</v>
      </c>
      <c r="C6">
        <v>0.64539999999999997</v>
      </c>
      <c r="D6">
        <v>0.90869999999999995</v>
      </c>
      <c r="E6">
        <v>4.8</v>
      </c>
      <c r="F6">
        <v>0.93</v>
      </c>
      <c r="G6">
        <v>0.48799999999999999</v>
      </c>
      <c r="H6" s="1">
        <v>0.19739999999999999</v>
      </c>
      <c r="I6">
        <v>0.4007</v>
      </c>
      <c r="J6">
        <v>1</v>
      </c>
      <c r="K6" s="1">
        <v>8.34E-4</v>
      </c>
      <c r="L6" s="1">
        <v>2297.6</v>
      </c>
      <c r="O6">
        <v>8.34E-4</v>
      </c>
      <c r="P6">
        <v>2297.6</v>
      </c>
    </row>
    <row r="7" spans="1:16" x14ac:dyDescent="0.2">
      <c r="A7" t="s">
        <v>20</v>
      </c>
      <c r="B7" t="s">
        <v>19</v>
      </c>
      <c r="C7">
        <v>0.67290000000000005</v>
      </c>
      <c r="D7" s="1">
        <v>0.91259999999999997</v>
      </c>
      <c r="E7" s="1">
        <v>5</v>
      </c>
      <c r="F7" s="1">
        <v>0.96</v>
      </c>
      <c r="G7">
        <v>0.50439999999999996</v>
      </c>
      <c r="H7">
        <v>0.18140000000000001</v>
      </c>
      <c r="I7">
        <v>0.4214</v>
      </c>
      <c r="J7">
        <v>1</v>
      </c>
      <c r="K7">
        <v>8.9599999999999999E-4</v>
      </c>
      <c r="L7">
        <v>2416.88</v>
      </c>
      <c r="O7">
        <v>8.9599999999999999E-4</v>
      </c>
      <c r="P7">
        <v>2416.88</v>
      </c>
    </row>
    <row r="8" spans="1:16" x14ac:dyDescent="0.2">
      <c r="A8" t="s">
        <v>21</v>
      </c>
      <c r="B8" t="s">
        <v>17</v>
      </c>
      <c r="C8" s="1">
        <v>0.78349999999999997</v>
      </c>
      <c r="D8" s="1">
        <v>0.87670000000000003</v>
      </c>
      <c r="E8" s="1">
        <v>5</v>
      </c>
      <c r="F8" s="1">
        <v>0.9</v>
      </c>
      <c r="G8" s="1">
        <v>0.46879999999999999</v>
      </c>
      <c r="H8">
        <v>0.12809999999999999</v>
      </c>
      <c r="I8" s="1">
        <v>0.50380000000000003</v>
      </c>
      <c r="J8">
        <v>5.16</v>
      </c>
      <c r="K8">
        <v>5.4819999999999999E-3</v>
      </c>
      <c r="L8">
        <v>18965.64</v>
      </c>
      <c r="M8">
        <v>4.6030000000000003E-3</v>
      </c>
      <c r="N8">
        <v>17060.28</v>
      </c>
      <c r="O8">
        <v>8.7900000000000001E-4</v>
      </c>
      <c r="P8" s="1">
        <v>1905.36</v>
      </c>
    </row>
    <row r="9" spans="1:16" x14ac:dyDescent="0.2">
      <c r="A9" t="s">
        <v>21</v>
      </c>
      <c r="B9" t="s">
        <v>18</v>
      </c>
      <c r="C9">
        <v>0.44779999999999998</v>
      </c>
      <c r="D9">
        <v>0.66</v>
      </c>
      <c r="E9">
        <v>4.6399999999999997</v>
      </c>
      <c r="F9">
        <v>0.77</v>
      </c>
      <c r="G9">
        <v>0.38319999999999999</v>
      </c>
      <c r="H9">
        <v>0.1249</v>
      </c>
      <c r="I9">
        <v>0.3987</v>
      </c>
      <c r="J9">
        <v>1</v>
      </c>
      <c r="K9" s="1">
        <v>8.61E-4</v>
      </c>
      <c r="L9" s="1">
        <v>2302.16</v>
      </c>
      <c r="O9" s="1">
        <v>8.61E-4</v>
      </c>
      <c r="P9">
        <v>2302.16</v>
      </c>
    </row>
    <row r="10" spans="1:16" x14ac:dyDescent="0.2">
      <c r="A10" t="s">
        <v>21</v>
      </c>
      <c r="B10" t="s">
        <v>19</v>
      </c>
      <c r="C10">
        <v>0.53449999999999998</v>
      </c>
      <c r="D10">
        <v>0.76670000000000005</v>
      </c>
      <c r="E10">
        <v>4.72</v>
      </c>
      <c r="F10">
        <v>0.83</v>
      </c>
      <c r="G10">
        <v>0.4052</v>
      </c>
      <c r="H10" s="1">
        <v>0.13159999999999999</v>
      </c>
      <c r="I10">
        <v>0.43990000000000001</v>
      </c>
      <c r="J10">
        <v>1</v>
      </c>
      <c r="K10">
        <v>9.19E-4</v>
      </c>
      <c r="L10">
        <v>2438.08</v>
      </c>
      <c r="O10">
        <v>9.19E-4</v>
      </c>
      <c r="P10">
        <v>2438.08</v>
      </c>
    </row>
    <row r="11" spans="1:16" x14ac:dyDescent="0.2">
      <c r="A11" t="s">
        <v>22</v>
      </c>
      <c r="B11" t="s">
        <v>17</v>
      </c>
      <c r="C11" s="1">
        <v>0.93520000000000003</v>
      </c>
      <c r="D11" s="1">
        <v>0.9667</v>
      </c>
      <c r="E11" s="1">
        <v>5</v>
      </c>
      <c r="F11" s="1">
        <v>0.97</v>
      </c>
      <c r="G11" s="1">
        <v>0.63680000000000003</v>
      </c>
      <c r="H11">
        <v>0.14399999999999999</v>
      </c>
      <c r="I11" s="1">
        <v>0.54110000000000003</v>
      </c>
      <c r="J11">
        <v>5.2</v>
      </c>
      <c r="K11">
        <v>5.6839999999999998E-3</v>
      </c>
      <c r="L11">
        <v>20426.68</v>
      </c>
      <c r="M11">
        <v>4.9569999999999996E-3</v>
      </c>
      <c r="N11">
        <v>18718.439999999999</v>
      </c>
      <c r="O11" s="1">
        <v>7.27E-4</v>
      </c>
      <c r="P11" s="1">
        <v>1708.24</v>
      </c>
    </row>
    <row r="12" spans="1:16" x14ac:dyDescent="0.2">
      <c r="A12" t="s">
        <v>22</v>
      </c>
      <c r="B12" t="s">
        <v>18</v>
      </c>
      <c r="C12">
        <v>0.76180000000000003</v>
      </c>
      <c r="D12">
        <v>0.95330000000000004</v>
      </c>
      <c r="E12" s="1">
        <v>5</v>
      </c>
      <c r="F12">
        <v>0.96</v>
      </c>
      <c r="G12">
        <v>0.59040000000000004</v>
      </c>
      <c r="H12" s="1">
        <v>0.18770000000000001</v>
      </c>
      <c r="I12">
        <v>0.51170000000000004</v>
      </c>
      <c r="J12">
        <v>1</v>
      </c>
      <c r="K12" s="1">
        <v>8.4500000000000005E-4</v>
      </c>
      <c r="L12" s="1">
        <v>2444.88</v>
      </c>
      <c r="O12">
        <v>8.4500000000000005E-4</v>
      </c>
      <c r="P12">
        <v>2444.88</v>
      </c>
    </row>
    <row r="13" spans="1:16" x14ac:dyDescent="0.2">
      <c r="A13" t="s">
        <v>22</v>
      </c>
      <c r="B13" t="s">
        <v>19</v>
      </c>
      <c r="C13">
        <v>0.72760000000000002</v>
      </c>
      <c r="D13">
        <v>0.92669999999999997</v>
      </c>
      <c r="E13">
        <v>4.96</v>
      </c>
      <c r="F13">
        <v>0.94</v>
      </c>
      <c r="G13">
        <v>0.61439999999999995</v>
      </c>
      <c r="H13">
        <v>0.16819999999999999</v>
      </c>
      <c r="I13">
        <v>0.50649999999999995</v>
      </c>
      <c r="J13">
        <v>1</v>
      </c>
      <c r="K13">
        <v>8.6899999999999998E-4</v>
      </c>
      <c r="L13">
        <v>2483.96</v>
      </c>
      <c r="O13">
        <v>8.6899999999999998E-4</v>
      </c>
      <c r="P13">
        <v>2483.96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695D-F3DF-0F45-BB55-541F5702F013}">
  <dimension ref="A1:D72"/>
  <sheetViews>
    <sheetView tabSelected="1" workbookViewId="0">
      <selection activeCell="L40" sqref="L40"/>
    </sheetView>
  </sheetViews>
  <sheetFormatPr baseColWidth="10" defaultRowHeight="15" x14ac:dyDescent="0.2"/>
  <cols>
    <col min="1" max="1" width="33.33203125" customWidth="1"/>
    <col min="2" max="4" width="17.5" customWidth="1"/>
  </cols>
  <sheetData>
    <row r="1" spans="1:4" ht="19" x14ac:dyDescent="0.25">
      <c r="A1" s="2" t="s">
        <v>23</v>
      </c>
    </row>
    <row r="3" spans="1:4" ht="16" x14ac:dyDescent="0.2">
      <c r="A3" s="3" t="s">
        <v>24</v>
      </c>
    </row>
    <row r="4" spans="1:4" x14ac:dyDescent="0.2">
      <c r="A4" s="4" t="s">
        <v>25</v>
      </c>
      <c r="B4" s="4" t="s">
        <v>17</v>
      </c>
      <c r="C4" s="4" t="s">
        <v>18</v>
      </c>
      <c r="D4" s="4" t="s">
        <v>19</v>
      </c>
    </row>
    <row r="5" spans="1:4" x14ac:dyDescent="0.2">
      <c r="A5" s="5" t="s">
        <v>16</v>
      </c>
      <c r="B5" s="6">
        <f>SUMIFS('RAG Comparison'!$C$2:$C$13,'RAG Comparison'!$A$2:$A$13,$A5,'RAG Comparison'!$B$2:$B$13,B$4)</f>
        <v>0.87670000000000003</v>
      </c>
      <c r="C5" s="6">
        <f>SUMIFS('RAG Comparison'!$C$2:$C$13,'RAG Comparison'!$A$2:$A$13,$A5,'RAG Comparison'!$B$2:$B$13,C$4)</f>
        <v>0.74719999999999998</v>
      </c>
      <c r="D5" s="6">
        <f>SUMIFS('RAG Comparison'!$C$2:$C$13,'RAG Comparison'!$A$2:$A$13,$A5,'RAG Comparison'!$B$2:$B$13,D$4)</f>
        <v>0.74970000000000003</v>
      </c>
    </row>
    <row r="6" spans="1:4" x14ac:dyDescent="0.2">
      <c r="A6" s="5" t="s">
        <v>20</v>
      </c>
      <c r="B6" s="6">
        <f>SUMIFS('RAG Comparison'!$C$2:$C$13,'RAG Comparison'!$A$2:$A$13,$A6,'RAG Comparison'!$B$2:$B$13,B$4)</f>
        <v>0.81220000000000003</v>
      </c>
      <c r="C6" s="6">
        <f>SUMIFS('RAG Comparison'!$C$2:$C$13,'RAG Comparison'!$A$2:$A$13,$A6,'RAG Comparison'!$B$2:$B$13,C$4)</f>
        <v>0.64539999999999997</v>
      </c>
      <c r="D6" s="6">
        <f>SUMIFS('RAG Comparison'!$C$2:$C$13,'RAG Comparison'!$A$2:$A$13,$A6,'RAG Comparison'!$B$2:$B$13,D$4)</f>
        <v>0.67290000000000005</v>
      </c>
    </row>
    <row r="7" spans="1:4" x14ac:dyDescent="0.2">
      <c r="A7" s="5" t="s">
        <v>21</v>
      </c>
      <c r="B7" s="6">
        <f>SUMIFS('RAG Comparison'!$C$2:$C$13,'RAG Comparison'!$A$2:$A$13,$A7,'RAG Comparison'!$B$2:$B$13,B$4)</f>
        <v>0.78349999999999997</v>
      </c>
      <c r="C7" s="6">
        <f>SUMIFS('RAG Comparison'!$C$2:$C$13,'RAG Comparison'!$A$2:$A$13,$A7,'RAG Comparison'!$B$2:$B$13,C$4)</f>
        <v>0.44779999999999998</v>
      </c>
      <c r="D7" s="6">
        <f>SUMIFS('RAG Comparison'!$C$2:$C$13,'RAG Comparison'!$A$2:$A$13,$A7,'RAG Comparison'!$B$2:$B$13,D$4)</f>
        <v>0.53449999999999998</v>
      </c>
    </row>
    <row r="8" spans="1:4" x14ac:dyDescent="0.2">
      <c r="A8" s="5" t="s">
        <v>22</v>
      </c>
      <c r="B8" s="6">
        <f>SUMIFS('RAG Comparison'!$C$2:$C$13,'RAG Comparison'!$A$2:$A$13,$A8,'RAG Comparison'!$B$2:$B$13,B$4)</f>
        <v>0.93520000000000003</v>
      </c>
      <c r="C8" s="6">
        <f>SUMIFS('RAG Comparison'!$C$2:$C$13,'RAG Comparison'!$A$2:$A$13,$A8,'RAG Comparison'!$B$2:$B$13,C$4)</f>
        <v>0.76180000000000003</v>
      </c>
      <c r="D8" s="6">
        <f>SUMIFS('RAG Comparison'!$C$2:$C$13,'RAG Comparison'!$A$2:$A$13,$A8,'RAG Comparison'!$B$2:$B$13,D$4)</f>
        <v>0.72760000000000002</v>
      </c>
    </row>
    <row r="11" spans="1:4" ht="16" x14ac:dyDescent="0.2">
      <c r="A11" s="3" t="s">
        <v>26</v>
      </c>
    </row>
    <row r="12" spans="1:4" x14ac:dyDescent="0.2">
      <c r="A12" s="4" t="s">
        <v>25</v>
      </c>
      <c r="B12" s="4" t="s">
        <v>17</v>
      </c>
      <c r="C12" s="4" t="s">
        <v>18</v>
      </c>
      <c r="D12" s="4" t="s">
        <v>19</v>
      </c>
    </row>
    <row r="13" spans="1:4" x14ac:dyDescent="0.2">
      <c r="A13" s="5" t="s">
        <v>16</v>
      </c>
      <c r="B13" s="6">
        <f>SUMIFS('RAG Comparison'!$D$2:$D$13,'RAG Comparison'!$A$2:$A$13,$A13,'RAG Comparison'!$B$2:$B$13,B$12)</f>
        <v>0.98670000000000002</v>
      </c>
      <c r="C13" s="6">
        <f>SUMIFS('RAG Comparison'!$D$2:$D$13,'RAG Comparison'!$A$2:$A$13,$A13,'RAG Comparison'!$B$2:$B$13,C$12)</f>
        <v>0.9133</v>
      </c>
      <c r="D13" s="6">
        <f>SUMIFS('RAG Comparison'!$D$2:$D$13,'RAG Comparison'!$A$2:$A$13,$A13,'RAG Comparison'!$B$2:$B$13,D$12)</f>
        <v>0.92669999999999997</v>
      </c>
    </row>
    <row r="14" spans="1:4" x14ac:dyDescent="0.2">
      <c r="A14" s="5" t="s">
        <v>20</v>
      </c>
      <c r="B14" s="6">
        <f>SUMIFS('RAG Comparison'!$D$2:$D$13,'RAG Comparison'!$A$2:$A$13,$A14,'RAG Comparison'!$B$2:$B$13,B$12)</f>
        <v>0.86629999999999996</v>
      </c>
      <c r="C14" s="6">
        <f>SUMIFS('RAG Comparison'!$D$2:$D$13,'RAG Comparison'!$A$2:$A$13,$A14,'RAG Comparison'!$B$2:$B$13,C$12)</f>
        <v>0.90869999999999995</v>
      </c>
      <c r="D14" s="6">
        <f>SUMIFS('RAG Comparison'!$D$2:$D$13,'RAG Comparison'!$A$2:$A$13,$A14,'RAG Comparison'!$B$2:$B$13,D$12)</f>
        <v>0.91259999999999997</v>
      </c>
    </row>
    <row r="15" spans="1:4" x14ac:dyDescent="0.2">
      <c r="A15" s="5" t="s">
        <v>21</v>
      </c>
      <c r="B15" s="6">
        <f>SUMIFS('RAG Comparison'!$D$2:$D$13,'RAG Comparison'!$A$2:$A$13,$A15,'RAG Comparison'!$B$2:$B$13,B$12)</f>
        <v>0.87670000000000003</v>
      </c>
      <c r="C15" s="6">
        <f>SUMIFS('RAG Comparison'!$D$2:$D$13,'RAG Comparison'!$A$2:$A$13,$A15,'RAG Comparison'!$B$2:$B$13,C$12)</f>
        <v>0.66</v>
      </c>
      <c r="D15" s="6">
        <f>SUMIFS('RAG Comparison'!$D$2:$D$13,'RAG Comparison'!$A$2:$A$13,$A15,'RAG Comparison'!$B$2:$B$13,D$12)</f>
        <v>0.76670000000000005</v>
      </c>
    </row>
    <row r="16" spans="1:4" x14ac:dyDescent="0.2">
      <c r="A16" s="5" t="s">
        <v>22</v>
      </c>
      <c r="B16" s="6">
        <f>SUMIFS('RAG Comparison'!$D$2:$D$13,'RAG Comparison'!$A$2:$A$13,$A16,'RAG Comparison'!$B$2:$B$13,B$12)</f>
        <v>0.9667</v>
      </c>
      <c r="C16" s="6">
        <f>SUMIFS('RAG Comparison'!$D$2:$D$13,'RAG Comparison'!$A$2:$A$13,$A16,'RAG Comparison'!$B$2:$B$13,C$12)</f>
        <v>0.95330000000000004</v>
      </c>
      <c r="D16" s="6">
        <f>SUMIFS('RAG Comparison'!$D$2:$D$13,'RAG Comparison'!$A$2:$A$13,$A16,'RAG Comparison'!$B$2:$B$13,D$12)</f>
        <v>0.92669999999999997</v>
      </c>
    </row>
    <row r="19" spans="1:4" ht="16" x14ac:dyDescent="0.2">
      <c r="A19" s="3" t="s">
        <v>27</v>
      </c>
    </row>
    <row r="20" spans="1:4" x14ac:dyDescent="0.2">
      <c r="A20" s="4" t="s">
        <v>25</v>
      </c>
      <c r="B20" s="4" t="s">
        <v>17</v>
      </c>
      <c r="C20" s="4" t="s">
        <v>18</v>
      </c>
      <c r="D20" s="4" t="s">
        <v>19</v>
      </c>
    </row>
    <row r="21" spans="1:4" x14ac:dyDescent="0.2">
      <c r="A21" s="5" t="s">
        <v>16</v>
      </c>
      <c r="B21" s="6">
        <f>SUMIFS('RAG Comparison'!$F$2:$F$13,'RAG Comparison'!$A$2:$A$13,$A21,'RAG Comparison'!$B$2:$B$13,B$20)</f>
        <v>0.92</v>
      </c>
      <c r="C21" s="6">
        <f>SUMIFS('RAG Comparison'!$F$2:$F$13,'RAG Comparison'!$A$2:$A$13,$A21,'RAG Comparison'!$B$2:$B$13,C$20)</f>
        <v>0.86</v>
      </c>
      <c r="D21" s="6">
        <f>SUMIFS('RAG Comparison'!$F$2:$F$13,'RAG Comparison'!$A$2:$A$13,$A21,'RAG Comparison'!$B$2:$B$13,D$20)</f>
        <v>0.89</v>
      </c>
    </row>
    <row r="22" spans="1:4" x14ac:dyDescent="0.2">
      <c r="A22" s="5" t="s">
        <v>20</v>
      </c>
      <c r="B22" s="6">
        <f>SUMIFS('RAG Comparison'!$F$2:$F$13,'RAG Comparison'!$A$2:$A$13,$A22,'RAG Comparison'!$B$2:$B$13,B$20)</f>
        <v>0.94</v>
      </c>
      <c r="C22" s="6">
        <f>SUMIFS('RAG Comparison'!$F$2:$F$13,'RAG Comparison'!$A$2:$A$13,$A22,'RAG Comparison'!$B$2:$B$13,C$20)</f>
        <v>0.93</v>
      </c>
      <c r="D22" s="6">
        <f>SUMIFS('RAG Comparison'!$F$2:$F$13,'RAG Comparison'!$A$2:$A$13,$A22,'RAG Comparison'!$B$2:$B$13,D$20)</f>
        <v>0.96</v>
      </c>
    </row>
    <row r="23" spans="1:4" x14ac:dyDescent="0.2">
      <c r="A23" s="5" t="s">
        <v>21</v>
      </c>
      <c r="B23" s="6">
        <f>SUMIFS('RAG Comparison'!$F$2:$F$13,'RAG Comparison'!$A$2:$A$13,$A23,'RAG Comparison'!$B$2:$B$13,B$20)</f>
        <v>0.9</v>
      </c>
      <c r="C23" s="6">
        <f>SUMIFS('RAG Comparison'!$F$2:$F$13,'RAG Comparison'!$A$2:$A$13,$A23,'RAG Comparison'!$B$2:$B$13,C$20)</f>
        <v>0.77</v>
      </c>
      <c r="D23" s="6">
        <f>SUMIFS('RAG Comparison'!$F$2:$F$13,'RAG Comparison'!$A$2:$A$13,$A23,'RAG Comparison'!$B$2:$B$13,D$20)</f>
        <v>0.83</v>
      </c>
    </row>
    <row r="24" spans="1:4" x14ac:dyDescent="0.2">
      <c r="A24" s="5" t="s">
        <v>22</v>
      </c>
      <c r="B24" s="6">
        <f>SUMIFS('RAG Comparison'!$F$2:$F$13,'RAG Comparison'!$A$2:$A$13,$A24,'RAG Comparison'!$B$2:$B$13,B$20)</f>
        <v>0.97</v>
      </c>
      <c r="C24" s="6">
        <f>SUMIFS('RAG Comparison'!$F$2:$F$13,'RAG Comparison'!$A$2:$A$13,$A24,'RAG Comparison'!$B$2:$B$13,C$20)</f>
        <v>0.96</v>
      </c>
      <c r="D24" s="6">
        <f>SUMIFS('RAG Comparison'!$F$2:$F$13,'RAG Comparison'!$A$2:$A$13,$A24,'RAG Comparison'!$B$2:$B$13,D$20)</f>
        <v>0.94</v>
      </c>
    </row>
    <row r="27" spans="1:4" ht="16" x14ac:dyDescent="0.2">
      <c r="A27" s="3" t="s">
        <v>28</v>
      </c>
    </row>
    <row r="28" spans="1:4" x14ac:dyDescent="0.2">
      <c r="A28" s="4" t="s">
        <v>25</v>
      </c>
      <c r="B28" s="4" t="s">
        <v>17</v>
      </c>
      <c r="C28" s="4" t="s">
        <v>18</v>
      </c>
      <c r="D28" s="4" t="s">
        <v>19</v>
      </c>
    </row>
    <row r="29" spans="1:4" x14ac:dyDescent="0.2">
      <c r="A29" s="5" t="s">
        <v>16</v>
      </c>
      <c r="B29" s="7">
        <f>SUMIFS('RAG Comparison'!$E$2:$E$13,'RAG Comparison'!$A$2:$A$13,$A29,'RAG Comparison'!$B$2:$B$13,B$28)</f>
        <v>5</v>
      </c>
      <c r="C29" s="7">
        <f>SUMIFS('RAG Comparison'!$E$2:$E$13,'RAG Comparison'!$A$2:$A$13,$A29,'RAG Comparison'!$B$2:$B$13,C$28)</f>
        <v>4.8</v>
      </c>
      <c r="D29" s="7">
        <f>SUMIFS('RAG Comparison'!$E$2:$E$13,'RAG Comparison'!$A$2:$A$13,$A29,'RAG Comparison'!$B$2:$B$13,D$28)</f>
        <v>4.84</v>
      </c>
    </row>
    <row r="30" spans="1:4" x14ac:dyDescent="0.2">
      <c r="A30" s="5" t="s">
        <v>20</v>
      </c>
      <c r="B30" s="7">
        <f>SUMIFS('RAG Comparison'!$E$2:$E$13,'RAG Comparison'!$A$2:$A$13,$A30,'RAG Comparison'!$B$2:$B$13,B$28)</f>
        <v>5</v>
      </c>
      <c r="C30" s="7">
        <f>SUMIFS('RAG Comparison'!$E$2:$E$13,'RAG Comparison'!$A$2:$A$13,$A30,'RAG Comparison'!$B$2:$B$13,C$28)</f>
        <v>4.8</v>
      </c>
      <c r="D30" s="7">
        <f>SUMIFS('RAG Comparison'!$E$2:$E$13,'RAG Comparison'!$A$2:$A$13,$A30,'RAG Comparison'!$B$2:$B$13,D$28)</f>
        <v>5</v>
      </c>
    </row>
    <row r="31" spans="1:4" x14ac:dyDescent="0.2">
      <c r="A31" s="5" t="s">
        <v>21</v>
      </c>
      <c r="B31" s="7">
        <f>SUMIFS('RAG Comparison'!$E$2:$E$13,'RAG Comparison'!$A$2:$A$13,$A31,'RAG Comparison'!$B$2:$B$13,B$28)</f>
        <v>5</v>
      </c>
      <c r="C31" s="7">
        <f>SUMIFS('RAG Comparison'!$E$2:$E$13,'RAG Comparison'!$A$2:$A$13,$A31,'RAG Comparison'!$B$2:$B$13,C$28)</f>
        <v>4.6399999999999997</v>
      </c>
      <c r="D31" s="7">
        <f>SUMIFS('RAG Comparison'!$E$2:$E$13,'RAG Comparison'!$A$2:$A$13,$A31,'RAG Comparison'!$B$2:$B$13,D$28)</f>
        <v>4.72</v>
      </c>
    </row>
    <row r="32" spans="1:4" x14ac:dyDescent="0.2">
      <c r="A32" s="5" t="s">
        <v>22</v>
      </c>
      <c r="B32" s="7">
        <f>SUMIFS('RAG Comparison'!$E$2:$E$13,'RAG Comparison'!$A$2:$A$13,$A32,'RAG Comparison'!$B$2:$B$13,B$28)</f>
        <v>5</v>
      </c>
      <c r="C32" s="7">
        <f>SUMIFS('RAG Comparison'!$E$2:$E$13,'RAG Comparison'!$A$2:$A$13,$A32,'RAG Comparison'!$B$2:$B$13,C$28)</f>
        <v>5</v>
      </c>
      <c r="D32" s="7">
        <f>SUMIFS('RAG Comparison'!$E$2:$E$13,'RAG Comparison'!$A$2:$A$13,$A32,'RAG Comparison'!$B$2:$B$13,D$28)</f>
        <v>4.96</v>
      </c>
    </row>
    <row r="35" spans="1:4" ht="16" x14ac:dyDescent="0.2">
      <c r="A35" s="3" t="s">
        <v>29</v>
      </c>
    </row>
    <row r="36" spans="1:4" x14ac:dyDescent="0.2">
      <c r="A36" s="4" t="s">
        <v>25</v>
      </c>
      <c r="B36" s="4" t="s">
        <v>17</v>
      </c>
      <c r="C36" s="4" t="s">
        <v>18</v>
      </c>
      <c r="D36" s="4" t="s">
        <v>19</v>
      </c>
    </row>
    <row r="37" spans="1:4" x14ac:dyDescent="0.2">
      <c r="A37" s="5" t="s">
        <v>16</v>
      </c>
      <c r="B37" s="6">
        <f>SUMIFS('RAG Comparison'!$G$2:$G$13,'RAG Comparison'!$A$2:$A$13,$A37,'RAG Comparison'!$B$2:$B$13,B$36)</f>
        <v>0.43480000000000002</v>
      </c>
      <c r="C37" s="6">
        <f>SUMIFS('RAG Comparison'!$G$2:$G$13,'RAG Comparison'!$A$2:$A$13,$A37,'RAG Comparison'!$B$2:$B$13,C$36)</f>
        <v>0.45760000000000001</v>
      </c>
      <c r="D37" s="6">
        <f>SUMIFS('RAG Comparison'!$G$2:$G$13,'RAG Comparison'!$A$2:$A$13,$A37,'RAG Comparison'!$B$2:$B$13,D$36)</f>
        <v>0.48080000000000001</v>
      </c>
    </row>
    <row r="38" spans="1:4" x14ac:dyDescent="0.2">
      <c r="A38" s="5" t="s">
        <v>20</v>
      </c>
      <c r="B38" s="6">
        <f>SUMIFS('RAG Comparison'!$G$2:$G$13,'RAG Comparison'!$A$2:$A$13,$A38,'RAG Comparison'!$B$2:$B$13,B$36)</f>
        <v>0.51639999999999997</v>
      </c>
      <c r="C38" s="6">
        <f>SUMIFS('RAG Comparison'!$G$2:$G$13,'RAG Comparison'!$A$2:$A$13,$A38,'RAG Comparison'!$B$2:$B$13,C$36)</f>
        <v>0.48799999999999999</v>
      </c>
      <c r="D38" s="6">
        <f>SUMIFS('RAG Comparison'!$G$2:$G$13,'RAG Comparison'!$A$2:$A$13,$A38,'RAG Comparison'!$B$2:$B$13,D$36)</f>
        <v>0.50439999999999996</v>
      </c>
    </row>
    <row r="39" spans="1:4" x14ac:dyDescent="0.2">
      <c r="A39" s="5" t="s">
        <v>21</v>
      </c>
      <c r="B39" s="6">
        <f>SUMIFS('RAG Comparison'!$G$2:$G$13,'RAG Comparison'!$A$2:$A$13,$A39,'RAG Comparison'!$B$2:$B$13,B$36)</f>
        <v>0.46879999999999999</v>
      </c>
      <c r="C39" s="6">
        <f>SUMIFS('RAG Comparison'!$G$2:$G$13,'RAG Comparison'!$A$2:$A$13,$A39,'RAG Comparison'!$B$2:$B$13,C$36)</f>
        <v>0.38319999999999999</v>
      </c>
      <c r="D39" s="6">
        <f>SUMIFS('RAG Comparison'!$G$2:$G$13,'RAG Comparison'!$A$2:$A$13,$A39,'RAG Comparison'!$B$2:$B$13,D$36)</f>
        <v>0.4052</v>
      </c>
    </row>
    <row r="40" spans="1:4" x14ac:dyDescent="0.2">
      <c r="A40" s="5" t="s">
        <v>22</v>
      </c>
      <c r="B40" s="6">
        <f>SUMIFS('RAG Comparison'!$G$2:$G$13,'RAG Comparison'!$A$2:$A$13,$A40,'RAG Comparison'!$B$2:$B$13,B$36)</f>
        <v>0.63680000000000003</v>
      </c>
      <c r="C40" s="6">
        <f>SUMIFS('RAG Comparison'!$G$2:$G$13,'RAG Comparison'!$A$2:$A$13,$A40,'RAG Comparison'!$B$2:$B$13,C$36)</f>
        <v>0.59040000000000004</v>
      </c>
      <c r="D40" s="6">
        <f>SUMIFS('RAG Comparison'!$G$2:$G$13,'RAG Comparison'!$A$2:$A$13,$A40,'RAG Comparison'!$B$2:$B$13,D$36)</f>
        <v>0.61439999999999995</v>
      </c>
    </row>
    <row r="43" spans="1:4" ht="16" x14ac:dyDescent="0.2">
      <c r="A43" s="3" t="s">
        <v>30</v>
      </c>
    </row>
    <row r="44" spans="1:4" x14ac:dyDescent="0.2">
      <c r="A44" s="4" t="s">
        <v>25</v>
      </c>
      <c r="B44" s="4" t="s">
        <v>17</v>
      </c>
      <c r="C44" s="4" t="s">
        <v>18</v>
      </c>
      <c r="D44" s="4" t="s">
        <v>19</v>
      </c>
    </row>
    <row r="45" spans="1:4" x14ac:dyDescent="0.2">
      <c r="A45" s="5" t="s">
        <v>16</v>
      </c>
      <c r="B45" s="8">
        <f>SUMIFS('RAG Comparison'!$K$2:$K$13,'RAG Comparison'!$A$2:$A$13,$A45,'RAG Comparison'!$B$2:$B$13,B$44)</f>
        <v>4.8690000000000001E-3</v>
      </c>
      <c r="C45" s="8">
        <f>SUMIFS('RAG Comparison'!$K$2:$K$13,'RAG Comparison'!$A$2:$A$13,$A45,'RAG Comparison'!$B$2:$B$13,C$44)</f>
        <v>7.27E-4</v>
      </c>
      <c r="D45" s="8">
        <f>SUMIFS('RAG Comparison'!$K$2:$K$13,'RAG Comparison'!$A$2:$A$13,$A45,'RAG Comparison'!$B$2:$B$13,D$44)</f>
        <v>7.67E-4</v>
      </c>
    </row>
    <row r="46" spans="1:4" x14ac:dyDescent="0.2">
      <c r="A46" s="5" t="s">
        <v>20</v>
      </c>
      <c r="B46" s="8">
        <f>SUMIFS('RAG Comparison'!$K$2:$K$13,'RAG Comparison'!$A$2:$A$13,$A46,'RAG Comparison'!$B$2:$B$13,B$44)</f>
        <v>5.9329999999999999E-3</v>
      </c>
      <c r="C46" s="8">
        <f>SUMIFS('RAG Comparison'!$K$2:$K$13,'RAG Comparison'!$A$2:$A$13,$A46,'RAG Comparison'!$B$2:$B$13,C$44)</f>
        <v>8.34E-4</v>
      </c>
      <c r="D46" s="8">
        <f>SUMIFS('RAG Comparison'!$K$2:$K$13,'RAG Comparison'!$A$2:$A$13,$A46,'RAG Comparison'!$B$2:$B$13,D$44)</f>
        <v>8.9599999999999999E-4</v>
      </c>
    </row>
    <row r="47" spans="1:4" x14ac:dyDescent="0.2">
      <c r="A47" s="5" t="s">
        <v>21</v>
      </c>
      <c r="B47" s="8">
        <f>SUMIFS('RAG Comparison'!$K$2:$K$13,'RAG Comparison'!$A$2:$A$13,$A47,'RAG Comparison'!$B$2:$B$13,B$44)</f>
        <v>5.4819999999999999E-3</v>
      </c>
      <c r="C47" s="8">
        <f>SUMIFS('RAG Comparison'!$K$2:$K$13,'RAG Comparison'!$A$2:$A$13,$A47,'RAG Comparison'!$B$2:$B$13,C$44)</f>
        <v>8.61E-4</v>
      </c>
      <c r="D47" s="8">
        <f>SUMIFS('RAG Comparison'!$K$2:$K$13,'RAG Comparison'!$A$2:$A$13,$A47,'RAG Comparison'!$B$2:$B$13,D$44)</f>
        <v>9.19E-4</v>
      </c>
    </row>
    <row r="48" spans="1:4" x14ac:dyDescent="0.2">
      <c r="A48" s="5" t="s">
        <v>22</v>
      </c>
      <c r="B48" s="8">
        <f>SUMIFS('RAG Comparison'!$K$2:$K$13,'RAG Comparison'!$A$2:$A$13,$A48,'RAG Comparison'!$B$2:$B$13,B$44)</f>
        <v>5.6839999999999998E-3</v>
      </c>
      <c r="C48" s="8">
        <f>SUMIFS('RAG Comparison'!$K$2:$K$13,'RAG Comparison'!$A$2:$A$13,$A48,'RAG Comparison'!$B$2:$B$13,C$44)</f>
        <v>8.4500000000000005E-4</v>
      </c>
      <c r="D48" s="8">
        <f>SUMIFS('RAG Comparison'!$K$2:$K$13,'RAG Comparison'!$A$2:$A$13,$A48,'RAG Comparison'!$B$2:$B$13,D$44)</f>
        <v>8.6899999999999998E-4</v>
      </c>
    </row>
    <row r="51" spans="1:4" ht="16" x14ac:dyDescent="0.2">
      <c r="A51" s="3" t="s">
        <v>31</v>
      </c>
    </row>
    <row r="52" spans="1:4" x14ac:dyDescent="0.2">
      <c r="A52" s="4" t="s">
        <v>25</v>
      </c>
      <c r="B52" s="4" t="s">
        <v>17</v>
      </c>
      <c r="C52" s="4" t="s">
        <v>18</v>
      </c>
      <c r="D52" s="4" t="s">
        <v>19</v>
      </c>
    </row>
    <row r="53" spans="1:4" x14ac:dyDescent="0.2">
      <c r="A53" s="5" t="s">
        <v>16</v>
      </c>
      <c r="B53" s="8">
        <f>SUMIFS('RAG Comparison'!$O$2:$O$13,'RAG Comparison'!$A$2:$A$13,$A53,'RAG Comparison'!$B$2:$B$13,B$52)</f>
        <v>5.5900000000000004E-4</v>
      </c>
      <c r="C53" s="8">
        <f>SUMIFS('RAG Comparison'!$O$2:$O$13,'RAG Comparison'!$A$2:$A$13,$A53,'RAG Comparison'!$B$2:$B$13,C$52)</f>
        <v>7.27E-4</v>
      </c>
      <c r="D53" s="8">
        <f>SUMIFS('RAG Comparison'!$O$2:$O$13,'RAG Comparison'!$A$2:$A$13,$A53,'RAG Comparison'!$B$2:$B$13,D$52)</f>
        <v>7.67E-4</v>
      </c>
    </row>
    <row r="54" spans="1:4" x14ac:dyDescent="0.2">
      <c r="A54" s="5" t="s">
        <v>20</v>
      </c>
      <c r="B54" s="8">
        <f>SUMIFS('RAG Comparison'!$O$2:$O$13,'RAG Comparison'!$A$2:$A$13,$A54,'RAG Comparison'!$B$2:$B$13,B$52)</f>
        <v>8.3000000000000001E-4</v>
      </c>
      <c r="C54" s="8">
        <f>SUMIFS('RAG Comparison'!$O$2:$O$13,'RAG Comparison'!$A$2:$A$13,$A54,'RAG Comparison'!$B$2:$B$13,C$52)</f>
        <v>8.34E-4</v>
      </c>
      <c r="D54" s="8">
        <f>SUMIFS('RAG Comparison'!$O$2:$O$13,'RAG Comparison'!$A$2:$A$13,$A54,'RAG Comparison'!$B$2:$B$13,D$52)</f>
        <v>8.9599999999999999E-4</v>
      </c>
    </row>
    <row r="55" spans="1:4" x14ac:dyDescent="0.2">
      <c r="A55" s="5" t="s">
        <v>21</v>
      </c>
      <c r="B55" s="8">
        <f>SUMIFS('RAG Comparison'!$O$2:$O$13,'RAG Comparison'!$A$2:$A$13,$A55,'RAG Comparison'!$B$2:$B$13,B$52)</f>
        <v>8.7900000000000001E-4</v>
      </c>
      <c r="C55" s="8">
        <f>SUMIFS('RAG Comparison'!$O$2:$O$13,'RAG Comparison'!$A$2:$A$13,$A55,'RAG Comparison'!$B$2:$B$13,C$52)</f>
        <v>8.61E-4</v>
      </c>
      <c r="D55" s="8">
        <f>SUMIFS('RAG Comparison'!$O$2:$O$13,'RAG Comparison'!$A$2:$A$13,$A55,'RAG Comparison'!$B$2:$B$13,D$52)</f>
        <v>9.19E-4</v>
      </c>
    </row>
    <row r="56" spans="1:4" x14ac:dyDescent="0.2">
      <c r="A56" s="5" t="s">
        <v>22</v>
      </c>
      <c r="B56" s="8">
        <f>SUMIFS('RAG Comparison'!$O$2:$O$13,'RAG Comparison'!$A$2:$A$13,$A56,'RAG Comparison'!$B$2:$B$13,B$52)</f>
        <v>7.27E-4</v>
      </c>
      <c r="C56" s="8">
        <f>SUMIFS('RAG Comparison'!$O$2:$O$13,'RAG Comparison'!$A$2:$A$13,$A56,'RAG Comparison'!$B$2:$B$13,C$52)</f>
        <v>8.4500000000000005E-4</v>
      </c>
      <c r="D56" s="8">
        <f>SUMIFS('RAG Comparison'!$O$2:$O$13,'RAG Comparison'!$A$2:$A$13,$A56,'RAG Comparison'!$B$2:$B$13,D$52)</f>
        <v>8.6899999999999998E-4</v>
      </c>
    </row>
    <row r="59" spans="1:4" ht="16" x14ac:dyDescent="0.2">
      <c r="A59" s="3" t="s">
        <v>32</v>
      </c>
    </row>
    <row r="60" spans="1:4" x14ac:dyDescent="0.2">
      <c r="A60" s="4" t="s">
        <v>25</v>
      </c>
      <c r="B60" s="4" t="s">
        <v>17</v>
      </c>
      <c r="C60" s="4" t="s">
        <v>18</v>
      </c>
      <c r="D60" s="4" t="s">
        <v>19</v>
      </c>
    </row>
    <row r="61" spans="1:4" x14ac:dyDescent="0.2">
      <c r="A61" s="5" t="s">
        <v>16</v>
      </c>
      <c r="B61" s="9">
        <f>SUMIFS('RAG Comparison'!$L$2:$L$13,'RAG Comparison'!$A$2:$A$13,$A61,'RAG Comparison'!$B$2:$B$13,B$60)</f>
        <v>17644.04</v>
      </c>
      <c r="C61" s="9">
        <f>SUMIFS('RAG Comparison'!$L$2:$L$13,'RAG Comparison'!$A$2:$A$13,$A61,'RAG Comparison'!$B$2:$B$13,C$60)</f>
        <v>2154</v>
      </c>
      <c r="D61" s="9">
        <f>SUMIFS('RAG Comparison'!$L$2:$L$13,'RAG Comparison'!$A$2:$A$13,$A61,'RAG Comparison'!$B$2:$B$13,D$60)</f>
        <v>2287.6799999999998</v>
      </c>
    </row>
    <row r="62" spans="1:4" x14ac:dyDescent="0.2">
      <c r="A62" s="5" t="s">
        <v>20</v>
      </c>
      <c r="B62" s="9">
        <f>SUMIFS('RAG Comparison'!$L$2:$L$13,'RAG Comparison'!$A$2:$A$13,$A62,'RAG Comparison'!$B$2:$B$13,B$60)</f>
        <v>20830.88</v>
      </c>
      <c r="C62" s="9">
        <f>SUMIFS('RAG Comparison'!$L$2:$L$13,'RAG Comparison'!$A$2:$A$13,$A62,'RAG Comparison'!$B$2:$B$13,C$60)</f>
        <v>2297.6</v>
      </c>
      <c r="D62" s="9">
        <f>SUMIFS('RAG Comparison'!$L$2:$L$13,'RAG Comparison'!$A$2:$A$13,$A62,'RAG Comparison'!$B$2:$B$13,D$60)</f>
        <v>2416.88</v>
      </c>
    </row>
    <row r="63" spans="1:4" x14ac:dyDescent="0.2">
      <c r="A63" s="5" t="s">
        <v>21</v>
      </c>
      <c r="B63" s="9">
        <f>SUMIFS('RAG Comparison'!$L$2:$L$13,'RAG Comparison'!$A$2:$A$13,$A63,'RAG Comparison'!$B$2:$B$13,B$60)</f>
        <v>18965.64</v>
      </c>
      <c r="C63" s="9">
        <f>SUMIFS('RAG Comparison'!$L$2:$L$13,'RAG Comparison'!$A$2:$A$13,$A63,'RAG Comparison'!$B$2:$B$13,C$60)</f>
        <v>2302.16</v>
      </c>
      <c r="D63" s="9">
        <f>SUMIFS('RAG Comparison'!$L$2:$L$13,'RAG Comparison'!$A$2:$A$13,$A63,'RAG Comparison'!$B$2:$B$13,D$60)</f>
        <v>2438.08</v>
      </c>
    </row>
    <row r="64" spans="1:4" x14ac:dyDescent="0.2">
      <c r="A64" s="5" t="s">
        <v>22</v>
      </c>
      <c r="B64" s="9">
        <f>SUMIFS('RAG Comparison'!$L$2:$L$13,'RAG Comparison'!$A$2:$A$13,$A64,'RAG Comparison'!$B$2:$B$13,B$60)</f>
        <v>20426.68</v>
      </c>
      <c r="C64" s="9">
        <f>SUMIFS('RAG Comparison'!$L$2:$L$13,'RAG Comparison'!$A$2:$A$13,$A64,'RAG Comparison'!$B$2:$B$13,C$60)</f>
        <v>2444.88</v>
      </c>
      <c r="D64" s="9">
        <f>SUMIFS('RAG Comparison'!$L$2:$L$13,'RAG Comparison'!$A$2:$A$13,$A64,'RAG Comparison'!$B$2:$B$13,D$60)</f>
        <v>2483.96</v>
      </c>
    </row>
    <row r="67" spans="1:4" ht="16" x14ac:dyDescent="0.2">
      <c r="A67" s="3" t="s">
        <v>33</v>
      </c>
    </row>
    <row r="68" spans="1:4" x14ac:dyDescent="0.2">
      <c r="A68" s="4" t="s">
        <v>25</v>
      </c>
      <c r="B68" s="4" t="s">
        <v>17</v>
      </c>
      <c r="C68" s="4" t="s">
        <v>18</v>
      </c>
      <c r="D68" s="4" t="s">
        <v>19</v>
      </c>
    </row>
    <row r="69" spans="1:4" x14ac:dyDescent="0.2">
      <c r="A69" s="5" t="s">
        <v>16</v>
      </c>
      <c r="B69" s="9">
        <f>SUMIFS('RAG Comparison'!$P$2:$P$13,'RAG Comparison'!$A$2:$A$13,$A69,'RAG Comparison'!$B$2:$B$13,B$68)</f>
        <v>1262.76</v>
      </c>
      <c r="C69" s="9">
        <f>SUMIFS('RAG Comparison'!$P$2:$P$13,'RAG Comparison'!$A$2:$A$13,$A69,'RAG Comparison'!$B$2:$B$13,C$68)</f>
        <v>2154</v>
      </c>
      <c r="D69" s="9">
        <f>SUMIFS('RAG Comparison'!$P$2:$P$13,'RAG Comparison'!$A$2:$A$13,$A69,'RAG Comparison'!$B$2:$B$13,D$68)</f>
        <v>2287.6799999999998</v>
      </c>
    </row>
    <row r="70" spans="1:4" x14ac:dyDescent="0.2">
      <c r="A70" s="5" t="s">
        <v>20</v>
      </c>
      <c r="B70" s="9">
        <f>SUMIFS('RAG Comparison'!$P$2:$P$13,'RAG Comparison'!$A$2:$A$13,$A70,'RAG Comparison'!$B$2:$B$13,B$68)</f>
        <v>1979.64</v>
      </c>
      <c r="C70" s="9">
        <f>SUMIFS('RAG Comparison'!$P$2:$P$13,'RAG Comparison'!$A$2:$A$13,$A70,'RAG Comparison'!$B$2:$B$13,C$68)</f>
        <v>2297.6</v>
      </c>
      <c r="D70" s="9">
        <f>SUMIFS('RAG Comparison'!$P$2:$P$13,'RAG Comparison'!$A$2:$A$13,$A70,'RAG Comparison'!$B$2:$B$13,D$68)</f>
        <v>2416.88</v>
      </c>
    </row>
    <row r="71" spans="1:4" x14ac:dyDescent="0.2">
      <c r="A71" s="5" t="s">
        <v>21</v>
      </c>
      <c r="B71" s="9">
        <f>SUMIFS('RAG Comparison'!$P$2:$P$13,'RAG Comparison'!$A$2:$A$13,$A71,'RAG Comparison'!$B$2:$B$13,B$68)</f>
        <v>1905.36</v>
      </c>
      <c r="C71" s="9">
        <f>SUMIFS('RAG Comparison'!$P$2:$P$13,'RAG Comparison'!$A$2:$A$13,$A71,'RAG Comparison'!$B$2:$B$13,C$68)</f>
        <v>2302.16</v>
      </c>
      <c r="D71" s="9">
        <f>SUMIFS('RAG Comparison'!$P$2:$P$13,'RAG Comparison'!$A$2:$A$13,$A71,'RAG Comparison'!$B$2:$B$13,D$68)</f>
        <v>2438.08</v>
      </c>
    </row>
    <row r="72" spans="1:4" x14ac:dyDescent="0.2">
      <c r="A72" s="5" t="s">
        <v>22</v>
      </c>
      <c r="B72" s="9">
        <f>SUMIFS('RAG Comparison'!$P$2:$P$13,'RAG Comparison'!$A$2:$A$13,$A72,'RAG Comparison'!$B$2:$B$13,B$68)</f>
        <v>1708.24</v>
      </c>
      <c r="C72" s="9">
        <f>SUMIFS('RAG Comparison'!$P$2:$P$13,'RAG Comparison'!$A$2:$A$13,$A72,'RAG Comparison'!$B$2:$B$13,C$68)</f>
        <v>2444.88</v>
      </c>
      <c r="D72" s="9">
        <f>SUMIFS('RAG Comparison'!$P$2:$P$13,'RAG Comparison'!$A$2:$A$13,$A72,'RAG Comparison'!$B$2:$B$13,D$68)</f>
        <v>2483.96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RAG 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Sagun Devkota</cp:lastModifiedBy>
  <dcterms:created xsi:type="dcterms:W3CDTF">2026-07-27T16:52:49Z</dcterms:created>
  <dcterms:modified xsi:type="dcterms:W3CDTF">2026-07-27T17:30:01Z</dcterms:modified>
</cp:coreProperties>
</file>