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agundevkota/Documents/opensource/hierarchical-rag/data_evaluation/playwright/"/>
    </mc:Choice>
  </mc:AlternateContent>
  <xr:revisionPtr revIDLastSave="0" documentId="13_ncr:1_{3A405149-57E4-9B4B-AC3C-47940FB4B5A6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RAG Comparis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2" l="1"/>
  <c r="C72" i="2"/>
  <c r="B72" i="2"/>
  <c r="D71" i="2"/>
  <c r="C71" i="2"/>
  <c r="B71" i="2"/>
  <c r="D70" i="2"/>
  <c r="C70" i="2"/>
  <c r="B70" i="2"/>
  <c r="D69" i="2"/>
  <c r="C69" i="2"/>
  <c r="B69" i="2"/>
  <c r="D64" i="2"/>
  <c r="C64" i="2"/>
  <c r="B64" i="2"/>
  <c r="D63" i="2"/>
  <c r="C63" i="2"/>
  <c r="B63" i="2"/>
  <c r="D62" i="2"/>
  <c r="C62" i="2"/>
  <c r="B62" i="2"/>
  <c r="D61" i="2"/>
  <c r="C61" i="2"/>
  <c r="B61" i="2"/>
  <c r="D56" i="2"/>
  <c r="C56" i="2"/>
  <c r="B56" i="2"/>
  <c r="D55" i="2"/>
  <c r="C55" i="2"/>
  <c r="B55" i="2"/>
  <c r="D54" i="2"/>
  <c r="C54" i="2"/>
  <c r="B54" i="2"/>
  <c r="D53" i="2"/>
  <c r="C53" i="2"/>
  <c r="B53" i="2"/>
  <c r="D48" i="2"/>
  <c r="C48" i="2"/>
  <c r="B48" i="2"/>
  <c r="D47" i="2"/>
  <c r="C47" i="2"/>
  <c r="B47" i="2"/>
  <c r="D46" i="2"/>
  <c r="C46" i="2"/>
  <c r="B46" i="2"/>
  <c r="D45" i="2"/>
  <c r="C45" i="2"/>
  <c r="B45" i="2"/>
  <c r="D32" i="2"/>
  <c r="D40" i="2"/>
  <c r="C40" i="2"/>
  <c r="B40" i="2"/>
  <c r="D39" i="2"/>
  <c r="C39" i="2"/>
  <c r="B39" i="2"/>
  <c r="D38" i="2"/>
  <c r="C38" i="2"/>
  <c r="B38" i="2"/>
  <c r="D37" i="2"/>
  <c r="C37" i="2"/>
  <c r="B37" i="2"/>
  <c r="C32" i="2"/>
  <c r="B32" i="2"/>
  <c r="D31" i="2"/>
  <c r="C31" i="2"/>
  <c r="B31" i="2"/>
  <c r="D30" i="2"/>
  <c r="C30" i="2"/>
  <c r="B30" i="2"/>
  <c r="D29" i="2"/>
  <c r="C29" i="2"/>
  <c r="B29" i="2"/>
  <c r="D24" i="2"/>
  <c r="C24" i="2"/>
  <c r="B24" i="2"/>
  <c r="D23" i="2"/>
  <c r="C23" i="2"/>
  <c r="B23" i="2"/>
  <c r="D22" i="2"/>
  <c r="C22" i="2"/>
  <c r="B22" i="2"/>
  <c r="D21" i="2"/>
  <c r="C21" i="2"/>
  <c r="B21" i="2"/>
  <c r="D16" i="2"/>
  <c r="C16" i="2"/>
  <c r="B16" i="2"/>
  <c r="D15" i="2"/>
  <c r="C15" i="2"/>
  <c r="B15" i="2"/>
  <c r="D14" i="2"/>
  <c r="C14" i="2"/>
  <c r="B14" i="2"/>
  <c r="D13" i="2"/>
  <c r="C13" i="2"/>
  <c r="B13" i="2"/>
  <c r="D8" i="2"/>
  <c r="C8" i="2"/>
  <c r="B8" i="2"/>
  <c r="D7" i="2"/>
  <c r="C7" i="2"/>
  <c r="B7" i="2"/>
  <c r="D6" i="2"/>
  <c r="C6" i="2"/>
  <c r="B6" i="2"/>
  <c r="D5" i="2"/>
  <c r="C5" i="2"/>
  <c r="B5" i="2"/>
</calcChain>
</file>

<file path=xl/sharedStrings.xml><?xml version="1.0" encoding="utf-8"?>
<sst xmlns="http://schemas.openxmlformats.org/spreadsheetml/2006/main" count="122" uniqueCount="34">
  <si>
    <t>question_type</t>
  </si>
  <si>
    <t>rag</t>
  </si>
  <si>
    <t>context_precision</t>
  </si>
  <si>
    <t>context_recall</t>
  </si>
  <si>
    <t>helpfulness</t>
  </si>
  <si>
    <t>answer_accuracy</t>
  </si>
  <si>
    <t>factual_correctness</t>
  </si>
  <si>
    <t>rouge_score(mode=precision)</t>
  </si>
  <si>
    <t>rouge_score(mode=recall)</t>
  </si>
  <si>
    <t>llm_calls</t>
  </si>
  <si>
    <t>total_cost</t>
  </si>
  <si>
    <t>total_tokens</t>
  </si>
  <si>
    <t>routing_cost</t>
  </si>
  <si>
    <t>routing_tokens</t>
  </si>
  <si>
    <t>generation_cost</t>
  </si>
  <si>
    <t>generation_tokens</t>
  </si>
  <si>
    <t>straightforward</t>
  </si>
  <si>
    <t>LLM Retriever</t>
  </si>
  <si>
    <t>Naive RAG</t>
  </si>
  <si>
    <t>RAPTOR</t>
  </si>
  <si>
    <t>multi_hop</t>
  </si>
  <si>
    <t>intent_driven</t>
  </si>
  <si>
    <t>debugging</t>
  </si>
  <si>
    <t>RAG Comparison by Question Type</t>
  </si>
  <si>
    <t>Context Precision (higher is better)</t>
  </si>
  <si>
    <t>Question Type</t>
  </si>
  <si>
    <t>Context Recall (higher is better)</t>
  </si>
  <si>
    <t>Answer Accuracy (higher is better)</t>
  </si>
  <si>
    <t>Helpfulness (1-5) (higher is better)</t>
  </si>
  <si>
    <t>Factual Correctness (higher is better)</t>
  </si>
  <si>
    <t>Total Cost ($ per query) (lower is better)</t>
  </si>
  <si>
    <t>Generation Cost ($ per query) (lower is better)</t>
  </si>
  <si>
    <t>Total Tokens (per query) (lower is better)</t>
  </si>
  <si>
    <t>Generation Tokens (per query) (lower is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</si>
</sst>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$-409]0.00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3" fillId="3" borderId="0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ill="1" applyBorder="1"/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Context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Sheet1!$B$5:$B$8</c:f>
              <c:numCache>
                <c:formatCode>0.0%</c:formatCode>
                <c:ptCount val="4"/>
                <c:pt idx="0">
                  <c:v>0.63290000000000002</c:v>
                </c:pt>
                <c:pt idx="1">
                  <c:v>0.68640000000000001</c:v>
                </c:pt>
                <c:pt idx="2">
                  <c:v>0.81699999999999995</c:v>
                </c:pt>
                <c:pt idx="3">
                  <c:v>0.76580000000000004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9-8D4F-BD15-12EE9BA8EB43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Sheet1!$C$5:$C$8</c:f>
              <c:numCache>
                <c:formatCode>0.0%</c:formatCode>
                <c:ptCount val="4"/>
                <c:pt idx="0">
                  <c:v>0.60140000000000005</c:v>
                </c:pt>
                <c:pt idx="1">
                  <c:v>0.50339999999999996</c:v>
                </c:pt>
                <c:pt idx="2">
                  <c:v>0.59199999999999997</c:v>
                </c:pt>
                <c:pt idx="3">
                  <c:v>0.71950000000000003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69-8D4F-BD15-12EE9BA8EB43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Sheet1!$D$5:$D$8</c:f>
              <c:numCache>
                <c:formatCode>0.0%</c:formatCode>
                <c:ptCount val="4"/>
                <c:pt idx="0">
                  <c:v>0.61529999999999996</c:v>
                </c:pt>
                <c:pt idx="1">
                  <c:v>0.58909999999999996</c:v>
                </c:pt>
                <c:pt idx="2">
                  <c:v>0.66749999999999998</c:v>
                </c:pt>
                <c:pt idx="3">
                  <c:v>0.73319999999999996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69-8D4F-BD15-12EE9BA8E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725135"/>
        <c:axId val="1781726847"/>
      </c:barChart>
      <c:catAx>
        <c:axId val="178172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781726847"/>
        <c:crosses val="autoZero"/>
        <c:auto val="1"/>
        <c:lblAlgn val="ctr"/>
        <c:lblOffset val="100"/>
        <c:noMultiLvlLbl val="0"/>
      </c:catAx>
      <c:valAx>
        <c:axId val="178172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78172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Context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Sheet1!$A$13:$A$16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Sheet1!$B$13:$B$16</c:f>
              <c:numCache>
                <c:formatCode>0.0%</c:formatCode>
                <c:ptCount val="4"/>
                <c:pt idx="0">
                  <c:v>0.84</c:v>
                </c:pt>
                <c:pt idx="1">
                  <c:v>0.87729999999999997</c:v>
                </c:pt>
                <c:pt idx="2">
                  <c:v>0.94799999999999995</c:v>
                </c:pt>
                <c:pt idx="3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6-7341-BBA5-ED23AE112421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Sheet1!$A$13:$A$16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Sheet1!$C$13:$C$16</c:f>
              <c:numCache>
                <c:formatCode>0.0%</c:formatCode>
                <c:ptCount val="4"/>
                <c:pt idx="0">
                  <c:v>0.88</c:v>
                </c:pt>
                <c:pt idx="1">
                  <c:v>0.72399999999999998</c:v>
                </c:pt>
                <c:pt idx="2">
                  <c:v>0.82330000000000003</c:v>
                </c:pt>
                <c:pt idx="3">
                  <c:v>0.96330000000000005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16-7341-BBA5-ED23AE112421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Sheet1!$A$13:$A$16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Sheet1!$D$13:$D$16</c:f>
              <c:numCache>
                <c:formatCode>0.0%</c:formatCode>
                <c:ptCount val="4"/>
                <c:pt idx="0">
                  <c:v>0.86</c:v>
                </c:pt>
                <c:pt idx="1">
                  <c:v>0.72</c:v>
                </c:pt>
                <c:pt idx="2">
                  <c:v>0.81530000000000002</c:v>
                </c:pt>
                <c:pt idx="3">
                  <c:v>0.94669999999999999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16-7341-BBA5-ED23AE112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475631"/>
        <c:axId val="343464831"/>
      </c:barChart>
      <c:catAx>
        <c:axId val="34347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343464831"/>
        <c:crosses val="autoZero"/>
        <c:auto val="1"/>
        <c:lblAlgn val="ctr"/>
        <c:lblOffset val="100"/>
        <c:noMultiLvlLbl val="0"/>
      </c:catAx>
      <c:valAx>
        <c:axId val="34346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34347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Answer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Sheet1!$A$21:$A$24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Sheet1!$B$21:$B$24</c:f>
              <c:numCache>
                <c:formatCode>0.0%</c:formatCode>
                <c:ptCount val="4"/>
                <c:pt idx="0">
                  <c:v>0.72</c:v>
                </c:pt>
                <c:pt idx="1">
                  <c:v>0.94</c:v>
                </c:pt>
                <c:pt idx="2">
                  <c:v>0.96</c:v>
                </c:pt>
                <c:pt idx="3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5-2B41-82C6-951CF6738547}"/>
            </c:ext>
          </c:extLst>
        </c:ser>
        <c:ser>
          <c:idx val="1"/>
          <c:order val="1"/>
          <c:tx>
            <c:strRef>
              <c:f>Sheet1!$C$20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Sheet1!$A$21:$A$24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Sheet1!$C$21:$C$24</c:f>
              <c:numCache>
                <c:formatCode>0.0%</c:formatCode>
                <c:ptCount val="4"/>
                <c:pt idx="0">
                  <c:v>0.8</c:v>
                </c:pt>
                <c:pt idx="1">
                  <c:v>0.85</c:v>
                </c:pt>
                <c:pt idx="2">
                  <c:v>0.81</c:v>
                </c:pt>
                <c:pt idx="3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5-2B41-82C6-951CF6738547}"/>
            </c:ext>
          </c:extLst>
        </c:ser>
        <c:ser>
          <c:idx val="2"/>
          <c:order val="2"/>
          <c:tx>
            <c:strRef>
              <c:f>Sheet1!$D$20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Sheet1!$A$21:$A$24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Sheet1!$D$21:$D$24</c:f>
              <c:numCache>
                <c:formatCode>0.0%</c:formatCode>
                <c:ptCount val="4"/>
                <c:pt idx="0">
                  <c:v>0.81</c:v>
                </c:pt>
                <c:pt idx="1">
                  <c:v>0.84</c:v>
                </c:pt>
                <c:pt idx="2">
                  <c:v>0.82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45-2B41-82C6-951CF6738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447759"/>
        <c:axId val="1827449471"/>
      </c:barChart>
      <c:catAx>
        <c:axId val="182744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827449471"/>
        <c:crosses val="autoZero"/>
        <c:auto val="1"/>
        <c:lblAlgn val="ctr"/>
        <c:lblOffset val="100"/>
        <c:noMultiLvlLbl val="0"/>
      </c:catAx>
      <c:valAx>
        <c:axId val="182744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82744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Helpfulness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Sheet1!$A$29:$A$32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Sheet1!$B$29:$B$32</c:f>
              <c:numCache>
                <c:formatCode>0.00</c:formatCode>
                <c:ptCount val="4"/>
                <c:pt idx="0">
                  <c:v>4.4400000000000004</c:v>
                </c:pt>
                <c:pt idx="1">
                  <c:v>4.92</c:v>
                </c:pt>
                <c:pt idx="2">
                  <c:v>5</c:v>
                </c:pt>
                <c:pt idx="3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9-CE42-92A1-8A1035668C21}"/>
            </c:ext>
          </c:extLst>
        </c:ser>
        <c:ser>
          <c:idx val="1"/>
          <c:order val="1"/>
          <c:tx>
            <c:strRef>
              <c:f>Sheet1!$C$28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Sheet1!$A$29:$A$32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Sheet1!$C$29:$C$32</c:f>
              <c:numCache>
                <c:formatCode>0.00</c:formatCode>
                <c:ptCount val="4"/>
                <c:pt idx="0">
                  <c:v>4.6399999999999997</c:v>
                </c:pt>
                <c:pt idx="1">
                  <c:v>5</c:v>
                </c:pt>
                <c:pt idx="2">
                  <c:v>4.5199999999999996</c:v>
                </c:pt>
                <c:pt idx="3">
                  <c:v>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49-CE42-92A1-8A1035668C21}"/>
            </c:ext>
          </c:extLst>
        </c:ser>
        <c:ser>
          <c:idx val="2"/>
          <c:order val="2"/>
          <c:tx>
            <c:strRef>
              <c:f>Sheet1!$D$28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Sheet1!$A$29:$A$32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Sheet1!$D$29:$D$32</c:f>
              <c:numCache>
                <c:formatCode>0.00</c:formatCode>
                <c:ptCount val="4"/>
                <c:pt idx="0">
                  <c:v>4.5599999999999996</c:v>
                </c:pt>
                <c:pt idx="1">
                  <c:v>4.68</c:v>
                </c:pt>
                <c:pt idx="2">
                  <c:v>4.5599999999999996</c:v>
                </c:pt>
                <c:pt idx="3">
                  <c:v>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49-CE42-92A1-8A1035668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987951"/>
        <c:axId val="1826989663"/>
      </c:barChart>
      <c:catAx>
        <c:axId val="182698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826989663"/>
        <c:crosses val="autoZero"/>
        <c:auto val="1"/>
        <c:lblAlgn val="ctr"/>
        <c:lblOffset val="100"/>
        <c:noMultiLvlLbl val="0"/>
      </c:catAx>
      <c:valAx>
        <c:axId val="18269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82698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Factual Correctness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Sheet1!$A$37:$A$40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Sheet1!$B$37:$B$40</c:f>
              <c:numCache>
                <c:formatCode>0.0%</c:formatCode>
                <c:ptCount val="4"/>
                <c:pt idx="0">
                  <c:v>0.44</c:v>
                </c:pt>
                <c:pt idx="1">
                  <c:v>0.55600000000000005</c:v>
                </c:pt>
                <c:pt idx="2">
                  <c:v>0.56000000000000005</c:v>
                </c:pt>
                <c:pt idx="3">
                  <c:v>0.58919999999999995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F-0946-88CE-EDF6EB280EF3}"/>
            </c:ext>
          </c:extLst>
        </c:ser>
        <c:ser>
          <c:idx val="1"/>
          <c:order val="1"/>
          <c:tx>
            <c:strRef>
              <c:f>Sheet1!$C$36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Sheet1!$A$37:$A$40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Sheet1!$C$37:$C$40</c:f>
              <c:numCache>
                <c:formatCode>0.0%</c:formatCode>
                <c:ptCount val="4"/>
                <c:pt idx="0">
                  <c:v>0.44359999999999999</c:v>
                </c:pt>
                <c:pt idx="1">
                  <c:v>0.41639999999999999</c:v>
                </c:pt>
                <c:pt idx="2">
                  <c:v>0.45679999999999998</c:v>
                </c:pt>
                <c:pt idx="3">
                  <c:v>0.68679999999999997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F-0946-88CE-EDF6EB280EF3}"/>
            </c:ext>
          </c:extLst>
        </c:ser>
        <c:ser>
          <c:idx val="2"/>
          <c:order val="2"/>
          <c:tx>
            <c:strRef>
              <c:f>Sheet1!$D$36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Sheet1!$A$37:$A$40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Sheet1!$D$37:$D$40</c:f>
              <c:numCache>
                <c:formatCode>0.0%</c:formatCode>
                <c:ptCount val="4"/>
                <c:pt idx="0">
                  <c:v>0.52759999999999996</c:v>
                </c:pt>
                <c:pt idx="1">
                  <c:v>0.47320000000000001</c:v>
                </c:pt>
                <c:pt idx="2">
                  <c:v>0.46279999999999999</c:v>
                </c:pt>
                <c:pt idx="3">
                  <c:v>0.59079999999999999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F-0946-88CE-EDF6EB280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896399"/>
        <c:axId val="1826898111"/>
      </c:barChart>
      <c:catAx>
        <c:axId val="182689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826898111"/>
        <c:crosses val="autoZero"/>
        <c:auto val="1"/>
        <c:lblAlgn val="ctr"/>
        <c:lblOffset val="100"/>
        <c:noMultiLvlLbl val="0"/>
      </c:catAx>
      <c:valAx>
        <c:axId val="182689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82689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Sheet1!$B$44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Sheet1!$A$45:$A$48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Sheet1!$B$45:$B$48</c:f>
              <c:numCache>
                <c:formatCode>[$$-409]0.000000</c:formatCode>
                <c:ptCount val="4"/>
                <c:pt idx="0">
                  <c:v>7.9469999999999992E-3</c:v>
                </c:pt>
                <c:pt idx="1">
                  <c:v>9.3489999999999997E-3</c:v>
                </c:pt>
                <c:pt idx="2">
                  <c:v>8.6020000000000003E-3</c:v>
                </c:pt>
                <c:pt idx="3">
                  <c:v>8.9840000000000007E-3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9-7F4C-997F-46B4DEF13845}"/>
            </c:ext>
          </c:extLst>
        </c:ser>
        <c:ser>
          <c:idx val="1"/>
          <c:order val="1"/>
          <c:tx>
            <c:strRef>
              <c:f>Sheet1!$C$44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Sheet1!$A$45:$A$48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Sheet1!$C$45:$C$48</c:f>
              <c:numCache>
                <c:formatCode>[$$-409]0.000000</c:formatCode>
                <c:ptCount val="4"/>
                <c:pt idx="0">
                  <c:v>7.4700000000000005E-4</c:v>
                </c:pt>
                <c:pt idx="1">
                  <c:v>8.8500000000000004E-4</c:v>
                </c:pt>
                <c:pt idx="2">
                  <c:v>8.2299999999999995E-4</c:v>
                </c:pt>
                <c:pt idx="3">
                  <c:v>7.5600000000000005E-4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9-7F4C-997F-46B4DEF13845}"/>
            </c:ext>
          </c:extLst>
        </c:ser>
        <c:ser>
          <c:idx val="2"/>
          <c:order val="2"/>
          <c:tx>
            <c:strRef>
              <c:f>Sheet1!$D$44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Sheet1!$A$45:$A$48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Sheet1!$D$45:$D$48</c:f>
              <c:numCache>
                <c:formatCode>[$$-409]0.000000</c:formatCode>
                <c:ptCount val="4"/>
                <c:pt idx="0">
                  <c:v>6.9700000000000003E-4</c:v>
                </c:pt>
                <c:pt idx="1">
                  <c:v>8.9800000000000004E-4</c:v>
                </c:pt>
                <c:pt idx="2">
                  <c:v>8.7200000000000005E-4</c:v>
                </c:pt>
                <c:pt idx="3">
                  <c:v>7.9100000000000004E-4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89-7F4C-997F-46B4DEF13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679951"/>
        <c:axId val="1826669615"/>
      </c:barChart>
      <c:catAx>
        <c:axId val="182667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826669615"/>
        <c:crosses val="autoZero"/>
        <c:auto val="1"/>
        <c:lblAlgn val="ctr"/>
        <c:lblOffset val="100"/>
        <c:noMultiLvlLbl val="0"/>
      </c:catAx>
      <c:valAx>
        <c:axId val="182666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18266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Sheet1!$A$53:$A$56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Sheet1!$B$53:$B$56</c:f>
              <c:numCache>
                <c:formatCode>[$$-409]0.000000</c:formatCode>
                <c:ptCount val="4"/>
                <c:pt idx="0">
                  <c:v>5.2700000000000002E-4</c:v>
                </c:pt>
                <c:pt idx="1">
                  <c:v>9.9400000000000009E-4</c:v>
                </c:pt>
                <c:pt idx="2">
                  <c:v>8.8599999999999996E-4</c:v>
                </c:pt>
                <c:pt idx="3">
                  <c:v>6.8400000000000004E-4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E-3A4C-971D-71239B159084}"/>
            </c:ext>
          </c:extLst>
        </c:ser>
        <c:ser>
          <c:idx val="1"/>
          <c:order val="1"/>
          <c:tx>
            <c:strRef>
              <c:f>Sheet1!$C$52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Sheet1!$A$53:$A$56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Sheet1!$C$53:$C$56</c:f>
              <c:numCache>
                <c:formatCode>[$$-409]0.000000</c:formatCode>
                <c:ptCount val="4"/>
                <c:pt idx="0">
                  <c:v>7.4700000000000005E-4</c:v>
                </c:pt>
                <c:pt idx="1">
                  <c:v>8.8500000000000004E-4</c:v>
                </c:pt>
                <c:pt idx="2">
                  <c:v>8.2299999999999995E-4</c:v>
                </c:pt>
                <c:pt idx="3">
                  <c:v>7.5600000000000005E-4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E-3A4C-971D-71239B159084}"/>
            </c:ext>
          </c:extLst>
        </c:ser>
        <c:ser>
          <c:idx val="2"/>
          <c:order val="2"/>
          <c:tx>
            <c:strRef>
              <c:f>Sheet1!$D$52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Sheet1!$A$53:$A$56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Sheet1!$D$53:$D$56</c:f>
              <c:numCache>
                <c:formatCode>[$$-409]0.000000</c:formatCode>
                <c:ptCount val="4"/>
                <c:pt idx="0">
                  <c:v>6.9700000000000003E-4</c:v>
                </c:pt>
                <c:pt idx="1">
                  <c:v>8.9800000000000004E-4</c:v>
                </c:pt>
                <c:pt idx="2">
                  <c:v>8.7200000000000005E-4</c:v>
                </c:pt>
                <c:pt idx="3">
                  <c:v>7.9100000000000004E-4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EE-3A4C-971D-71239B159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701119"/>
        <c:axId val="754499871"/>
      </c:barChart>
      <c:catAx>
        <c:axId val="75470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754499871"/>
        <c:crosses val="autoZero"/>
        <c:auto val="1"/>
        <c:lblAlgn val="ctr"/>
        <c:lblOffset val="100"/>
        <c:noMultiLvlLbl val="0"/>
      </c:catAx>
      <c:valAx>
        <c:axId val="75449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75470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Tokens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Sheet1!$B$60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Sheet1!$A$61:$A$64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Sheet1!$B$61:$B$64</c:f>
              <c:numCache>
                <c:formatCode>#,##0</c:formatCode>
                <c:ptCount val="4"/>
                <c:pt idx="0">
                  <c:v>30420.48</c:v>
                </c:pt>
                <c:pt idx="1">
                  <c:v>35315.279999999999</c:v>
                </c:pt>
                <c:pt idx="2">
                  <c:v>32730.76</c:v>
                </c:pt>
                <c:pt idx="3">
                  <c:v>34701.68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3-874B-A1E1-4BB1FF35815B}"/>
            </c:ext>
          </c:extLst>
        </c:ser>
        <c:ser>
          <c:idx val="1"/>
          <c:order val="1"/>
          <c:tx>
            <c:strRef>
              <c:f>Sheet1!$C$60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Sheet1!$A$61:$A$64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Sheet1!$C$61:$C$64</c:f>
              <c:numCache>
                <c:formatCode>#,##0</c:formatCode>
                <c:ptCount val="4"/>
                <c:pt idx="0">
                  <c:v>2243.88</c:v>
                </c:pt>
                <c:pt idx="1">
                  <c:v>2297.3200000000002</c:v>
                </c:pt>
                <c:pt idx="2">
                  <c:v>2285.2800000000002</c:v>
                </c:pt>
                <c:pt idx="3">
                  <c:v>2308.16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3-874B-A1E1-4BB1FF35815B}"/>
            </c:ext>
          </c:extLst>
        </c:ser>
        <c:ser>
          <c:idx val="2"/>
          <c:order val="2"/>
          <c:tx>
            <c:strRef>
              <c:f>Sheet1!$D$60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Sheet1!$A$61:$A$64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Sheet1!$D$61:$D$64</c:f>
              <c:numCache>
                <c:formatCode>#,##0</c:formatCode>
                <c:ptCount val="4"/>
                <c:pt idx="0">
                  <c:v>2126.12</c:v>
                </c:pt>
                <c:pt idx="1">
                  <c:v>2391.6799999999998</c:v>
                </c:pt>
                <c:pt idx="2">
                  <c:v>2403.8000000000002</c:v>
                </c:pt>
                <c:pt idx="3">
                  <c:v>2378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F3-874B-A1E1-4BB1FF35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879391"/>
        <c:axId val="754795631"/>
      </c:barChart>
      <c:catAx>
        <c:axId val="75487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754795631"/>
        <c:crosses val="autoZero"/>
        <c:auto val="1"/>
        <c:lblAlgn val="ctr"/>
        <c:lblOffset val="100"/>
        <c:noMultiLvlLbl val="0"/>
      </c:catAx>
      <c:valAx>
        <c:axId val="75479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75487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Tokens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Sheet1!$B$68</c:f>
              <c:strCache>
                <c:ptCount val="1"/>
                <c:pt idx="0">
                  <c:v>LLM Retriever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Sheet1!$A$69:$A$72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Sheet1!$B$69:$B$72</c:f>
              <c:numCache>
                <c:formatCode>#,##0</c:formatCode>
                <c:ptCount val="4"/>
                <c:pt idx="0">
                  <c:v>1374.52</c:v>
                </c:pt>
                <c:pt idx="1">
                  <c:v>2514.6799999999998</c:v>
                </c:pt>
                <c:pt idx="2">
                  <c:v>2076.88</c:v>
                </c:pt>
                <c:pt idx="3">
                  <c:v>1875.72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7-914B-A9B5-33BE7CD6DC56}"/>
            </c:ext>
          </c:extLst>
        </c:ser>
        <c:ser>
          <c:idx val="1"/>
          <c:order val="1"/>
          <c:tx>
            <c:strRef>
              <c:f>Sheet1!$C$68</c:f>
              <c:strCache>
                <c:ptCount val="1"/>
                <c:pt idx="0">
                  <c:v>Naive 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Sheet1!$A$69:$A$72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Sheet1!$C$69:$C$72</c:f>
              <c:numCache>
                <c:formatCode>#,##0</c:formatCode>
                <c:ptCount val="4"/>
                <c:pt idx="0">
                  <c:v>2243.88</c:v>
                </c:pt>
                <c:pt idx="1">
                  <c:v>2297.3200000000002</c:v>
                </c:pt>
                <c:pt idx="2">
                  <c:v>2285.2800000000002</c:v>
                </c:pt>
                <c:pt idx="3">
                  <c:v>2308.16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7-914B-A9B5-33BE7CD6DC56}"/>
            </c:ext>
          </c:extLst>
        </c:ser>
        <c:ser>
          <c:idx val="2"/>
          <c:order val="2"/>
          <c:tx>
            <c:strRef>
              <c:f>Sheet1!$D$68</c:f>
              <c:strCache>
                <c:ptCount val="1"/>
                <c:pt idx="0">
                  <c:v>RAPTOR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Sheet1!$A$69:$A$72</c:f>
              <c:strCache>
                <c:ptCount val="4"/>
                <c:pt idx="0">
                  <c:v>straightforward</c:v>
                </c:pt>
                <c:pt idx="1">
                  <c:v>multi_hop</c:v>
                </c:pt>
                <c:pt idx="2">
                  <c:v>intent_driven</c:v>
                </c:pt>
                <c:pt idx="3">
                  <c:v>debugging</c:v>
                </c:pt>
              </c:strCache>
            </c:strRef>
          </c:cat>
          <c:val>
            <c:numRef>
              <c:f>Sheet1!$D$69:$D$72</c:f>
              <c:numCache>
                <c:formatCode>#,##0</c:formatCode>
                <c:ptCount val="4"/>
                <c:pt idx="0">
                  <c:v>2126.12</c:v>
                </c:pt>
                <c:pt idx="1">
                  <c:v>2391.6799999999998</c:v>
                </c:pt>
                <c:pt idx="2">
                  <c:v>2403.8000000000002</c:v>
                </c:pt>
                <c:pt idx="3">
                  <c:v>2378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87-914B-A9B5-33BE7CD6D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721375"/>
        <c:axId val="754723087"/>
      </c:barChart>
      <c:catAx>
        <c:axId val="75472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754723087"/>
        <c:crosses val="autoZero"/>
        <c:auto val="1"/>
        <c:lblAlgn val="ctr"/>
        <c:lblOffset val="100"/>
        <c:noMultiLvlLbl val="0"/>
      </c:catAx>
      <c:valAx>
        <c:axId val="75472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75472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51C71-1A54-2A58-92C4-64A8D1CA2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50800</xdr:rowOff>
    </xdr:from>
    <xdr:to>
      <xdr:col>12</xdr:col>
      <xdr:colOff>0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31046E-DDAA-FA8D-4560-C1B5DE7B6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88900</xdr:rowOff>
    </xdr:from>
    <xdr:to>
      <xdr:col>12</xdr:col>
      <xdr:colOff>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1A544D-49DF-F439-FA25-4CB3E8B08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48</xdr:row>
      <xdr:rowOff>127000</xdr:rowOff>
    </xdr:from>
    <xdr:to>
      <xdr:col>12</xdr:col>
      <xdr:colOff>0</xdr:colOff>
      <xdr:row>63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4F2D13-50DD-0186-3AC5-DB1C6418B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63</xdr:row>
      <xdr:rowOff>165100</xdr:rowOff>
    </xdr:from>
    <xdr:to>
      <xdr:col>12</xdr:col>
      <xdr:colOff>0</xdr:colOff>
      <xdr:row>78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49B061-751C-C19C-A7B8-DCC0297DA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79</xdr:row>
      <xdr:rowOff>25400</xdr:rowOff>
    </xdr:from>
    <xdr:to>
      <xdr:col>12</xdr:col>
      <xdr:colOff>0</xdr:colOff>
      <xdr:row>93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BF04E1-9AAD-8678-A329-7BB10A8AF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94</xdr:row>
      <xdr:rowOff>88900</xdr:rowOff>
    </xdr:from>
    <xdr:to>
      <xdr:col>12</xdr:col>
      <xdr:colOff>0</xdr:colOff>
      <xdr:row>109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7EAAC1-1829-F837-A331-0162C6317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109</xdr:row>
      <xdr:rowOff>152400</xdr:rowOff>
    </xdr:from>
    <xdr:to>
      <xdr:col>12</xdr:col>
      <xdr:colOff>0</xdr:colOff>
      <xdr:row>124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8F025EE-8CC7-84BD-1EFD-06F60E520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125</xdr:row>
      <xdr:rowOff>25400</xdr:rowOff>
    </xdr:from>
    <xdr:to>
      <xdr:col>12</xdr:col>
      <xdr:colOff>0</xdr:colOff>
      <xdr:row>139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C2870F-BC8C-FABC-5BE4-647D74A02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629CE7-843A-1949-98C8-8AB192AC6F7B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17659aab-0990-436e-961c-e1881579552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activeCell="P11" sqref="P11"/>
    </sheetView>
  </sheetViews>
  <sheetFormatPr baseColWidth="10" defaultColWidth="8.83203125" defaultRowHeight="15" x14ac:dyDescent="0.2"/>
  <cols>
    <col min="1" max="1" width="13" bestFit="1" customWidth="1"/>
    <col min="2" max="2" width="11.5" bestFit="1" customWidth="1"/>
    <col min="3" max="3" width="14.83203125" bestFit="1" customWidth="1"/>
    <col min="4" max="4" width="12" bestFit="1" customWidth="1"/>
    <col min="5" max="5" width="9.6640625" bestFit="1" customWidth="1"/>
    <col min="6" max="6" width="14" bestFit="1" customWidth="1"/>
    <col min="7" max="7" width="15.83203125" bestFit="1" customWidth="1"/>
    <col min="8" max="8" width="23.83203125" bestFit="1" customWidth="1"/>
    <col min="9" max="9" width="20.83203125" bestFit="1" customWidth="1"/>
    <col min="10" max="10" width="7.83203125" bestFit="1" customWidth="1"/>
    <col min="11" max="11" width="9.1640625" bestFit="1" customWidth="1"/>
    <col min="12" max="12" width="10.6640625" bestFit="1" customWidth="1"/>
    <col min="13" max="13" width="10.83203125" bestFit="1" customWidth="1"/>
    <col min="14" max="14" width="12.6640625" bestFit="1" customWidth="1"/>
    <col min="15" max="15" width="13.33203125" bestFit="1" customWidth="1"/>
    <col min="16" max="16" width="15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s="1">
        <v>0.63290000000000002</v>
      </c>
      <c r="D2">
        <v>0.84</v>
      </c>
      <c r="E2">
        <v>4.4400000000000004</v>
      </c>
      <c r="F2">
        <v>0.72</v>
      </c>
      <c r="G2">
        <v>0.44</v>
      </c>
      <c r="H2" s="1">
        <v>0.14699999999999999</v>
      </c>
      <c r="I2">
        <v>0.41549999999999998</v>
      </c>
      <c r="J2">
        <v>3.56</v>
      </c>
      <c r="K2">
        <v>7.9469999999999992E-3</v>
      </c>
      <c r="L2">
        <v>30420.48</v>
      </c>
      <c r="M2">
        <v>7.4209999999999996E-3</v>
      </c>
      <c r="N2">
        <v>29045.96</v>
      </c>
      <c r="O2" s="1">
        <v>5.2700000000000002E-4</v>
      </c>
      <c r="P2" s="1">
        <v>1374.52</v>
      </c>
    </row>
    <row r="3" spans="1:16" x14ac:dyDescent="0.2">
      <c r="A3" t="s">
        <v>16</v>
      </c>
      <c r="B3" t="s">
        <v>18</v>
      </c>
      <c r="C3">
        <v>0.60140000000000005</v>
      </c>
      <c r="D3" s="1">
        <v>0.88</v>
      </c>
      <c r="E3" s="1">
        <v>4.6399999999999997</v>
      </c>
      <c r="F3" s="1">
        <v>0.8</v>
      </c>
      <c r="G3">
        <v>0.44359999999999999</v>
      </c>
      <c r="H3">
        <v>0.13070000000000001</v>
      </c>
      <c r="I3" s="1">
        <v>0.44400000000000001</v>
      </c>
      <c r="J3">
        <v>1</v>
      </c>
      <c r="K3">
        <v>7.4700000000000005E-4</v>
      </c>
      <c r="L3">
        <v>2243.88</v>
      </c>
      <c r="O3">
        <v>7.4700000000000005E-4</v>
      </c>
      <c r="P3">
        <v>2243.88</v>
      </c>
    </row>
    <row r="4" spans="1:16" x14ac:dyDescent="0.2">
      <c r="A4" t="s">
        <v>16</v>
      </c>
      <c r="B4" t="s">
        <v>19</v>
      </c>
      <c r="C4">
        <v>0.61529999999999996</v>
      </c>
      <c r="D4">
        <v>0.86</v>
      </c>
      <c r="E4">
        <v>4.5599999999999996</v>
      </c>
      <c r="F4">
        <v>0.81</v>
      </c>
      <c r="G4" s="1">
        <v>0.52759999999999996</v>
      </c>
      <c r="H4">
        <v>0.13089999999999999</v>
      </c>
      <c r="I4">
        <v>0.43890000000000001</v>
      </c>
      <c r="J4">
        <v>1</v>
      </c>
      <c r="K4" s="1">
        <v>6.9700000000000003E-4</v>
      </c>
      <c r="L4" s="1">
        <v>2126.12</v>
      </c>
      <c r="O4">
        <v>6.9700000000000003E-4</v>
      </c>
      <c r="P4">
        <v>2126.12</v>
      </c>
    </row>
    <row r="5" spans="1:16" x14ac:dyDescent="0.2">
      <c r="A5" t="s">
        <v>20</v>
      </c>
      <c r="B5" t="s">
        <v>17</v>
      </c>
      <c r="C5" s="1">
        <v>0.68640000000000001</v>
      </c>
      <c r="D5" s="1">
        <v>0.87729999999999997</v>
      </c>
      <c r="E5">
        <v>4.92</v>
      </c>
      <c r="F5" s="1">
        <v>0.94</v>
      </c>
      <c r="G5" s="1">
        <v>0.55600000000000005</v>
      </c>
      <c r="H5" s="1">
        <v>0.15629999999999999</v>
      </c>
      <c r="I5" s="1">
        <v>0.37440000000000001</v>
      </c>
      <c r="J5">
        <v>3.92</v>
      </c>
      <c r="K5">
        <v>9.3489999999999997E-3</v>
      </c>
      <c r="L5">
        <v>35315.279999999999</v>
      </c>
      <c r="M5">
        <v>8.3549999999999996E-3</v>
      </c>
      <c r="N5">
        <v>32800.6</v>
      </c>
      <c r="O5">
        <v>9.9400000000000009E-4</v>
      </c>
      <c r="P5">
        <v>2514.6799999999998</v>
      </c>
    </row>
    <row r="6" spans="1:16" x14ac:dyDescent="0.2">
      <c r="A6" t="s">
        <v>20</v>
      </c>
      <c r="B6" t="s">
        <v>18</v>
      </c>
      <c r="C6">
        <v>0.50339999999999996</v>
      </c>
      <c r="D6">
        <v>0.72399999999999998</v>
      </c>
      <c r="E6" s="1">
        <v>5</v>
      </c>
      <c r="F6">
        <v>0.85</v>
      </c>
      <c r="G6">
        <v>0.41639999999999999</v>
      </c>
      <c r="H6">
        <v>0.1542</v>
      </c>
      <c r="I6">
        <v>0.33389999999999997</v>
      </c>
      <c r="J6">
        <v>1</v>
      </c>
      <c r="K6" s="1">
        <v>8.8500000000000004E-4</v>
      </c>
      <c r="L6" s="1">
        <v>2297.3200000000002</v>
      </c>
      <c r="O6" s="1">
        <v>8.8500000000000004E-4</v>
      </c>
      <c r="P6" s="1">
        <v>2297.3200000000002</v>
      </c>
    </row>
    <row r="7" spans="1:16" x14ac:dyDescent="0.2">
      <c r="A7" t="s">
        <v>20</v>
      </c>
      <c r="B7" t="s">
        <v>19</v>
      </c>
      <c r="C7">
        <v>0.58909999999999996</v>
      </c>
      <c r="D7">
        <v>0.72</v>
      </c>
      <c r="E7">
        <v>4.68</v>
      </c>
      <c r="F7">
        <v>0.84</v>
      </c>
      <c r="G7">
        <v>0.47320000000000001</v>
      </c>
      <c r="H7">
        <v>0.15260000000000001</v>
      </c>
      <c r="I7">
        <v>0.32250000000000001</v>
      </c>
      <c r="J7">
        <v>1</v>
      </c>
      <c r="K7">
        <v>8.9800000000000004E-4</v>
      </c>
      <c r="L7">
        <v>2391.6799999999998</v>
      </c>
      <c r="O7">
        <v>8.9800000000000004E-4</v>
      </c>
      <c r="P7">
        <v>2391.6799999999998</v>
      </c>
    </row>
    <row r="8" spans="1:16" x14ac:dyDescent="0.2">
      <c r="A8" t="s">
        <v>21</v>
      </c>
      <c r="B8" t="s">
        <v>17</v>
      </c>
      <c r="C8" s="1">
        <v>0.81699999999999995</v>
      </c>
      <c r="D8" s="1">
        <v>0.94799999999999995</v>
      </c>
      <c r="E8" s="1">
        <v>5</v>
      </c>
      <c r="F8" s="1">
        <v>0.96</v>
      </c>
      <c r="G8" s="1">
        <v>0.56000000000000005</v>
      </c>
      <c r="H8">
        <v>0.14549999999999999</v>
      </c>
      <c r="I8" s="1">
        <v>0.45829999999999999</v>
      </c>
      <c r="J8">
        <v>3.52</v>
      </c>
      <c r="K8">
        <v>8.6020000000000003E-3</v>
      </c>
      <c r="L8">
        <v>32730.76</v>
      </c>
      <c r="M8">
        <v>7.7159999999999998E-3</v>
      </c>
      <c r="N8">
        <v>30653.88</v>
      </c>
      <c r="O8">
        <v>8.8599999999999996E-4</v>
      </c>
      <c r="P8" s="1">
        <v>2076.88</v>
      </c>
    </row>
    <row r="9" spans="1:16" x14ac:dyDescent="0.2">
      <c r="A9" t="s">
        <v>21</v>
      </c>
      <c r="B9" t="s">
        <v>18</v>
      </c>
      <c r="C9">
        <v>0.59199999999999997</v>
      </c>
      <c r="D9">
        <v>0.82330000000000003</v>
      </c>
      <c r="E9">
        <v>4.5199999999999996</v>
      </c>
      <c r="F9">
        <v>0.81</v>
      </c>
      <c r="G9">
        <v>0.45679999999999998</v>
      </c>
      <c r="H9">
        <v>0.14680000000000001</v>
      </c>
      <c r="I9">
        <v>0.40189999999999998</v>
      </c>
      <c r="J9">
        <v>1</v>
      </c>
      <c r="K9" s="1">
        <v>8.2299999999999995E-4</v>
      </c>
      <c r="L9" s="1">
        <v>2285.2800000000002</v>
      </c>
      <c r="O9" s="1">
        <v>8.2299999999999995E-4</v>
      </c>
      <c r="P9">
        <v>2285.2800000000002</v>
      </c>
    </row>
    <row r="10" spans="1:16" x14ac:dyDescent="0.2">
      <c r="A10" t="s">
        <v>21</v>
      </c>
      <c r="B10" t="s">
        <v>19</v>
      </c>
      <c r="C10">
        <v>0.66749999999999998</v>
      </c>
      <c r="D10">
        <v>0.81530000000000002</v>
      </c>
      <c r="E10">
        <v>4.5599999999999996</v>
      </c>
      <c r="F10">
        <v>0.82</v>
      </c>
      <c r="G10">
        <v>0.46279999999999999</v>
      </c>
      <c r="H10" s="1">
        <v>0.1578</v>
      </c>
      <c r="I10">
        <v>0.40799999999999997</v>
      </c>
      <c r="J10">
        <v>1</v>
      </c>
      <c r="K10">
        <v>8.7200000000000005E-4</v>
      </c>
      <c r="L10">
        <v>2403.8000000000002</v>
      </c>
      <c r="O10">
        <v>8.7200000000000005E-4</v>
      </c>
      <c r="P10">
        <v>2403.8000000000002</v>
      </c>
    </row>
    <row r="11" spans="1:16" x14ac:dyDescent="0.2">
      <c r="A11" t="s">
        <v>22</v>
      </c>
      <c r="B11" t="s">
        <v>17</v>
      </c>
      <c r="C11" s="1">
        <v>0.76580000000000004</v>
      </c>
      <c r="D11">
        <v>0.87</v>
      </c>
      <c r="E11">
        <v>4.8</v>
      </c>
      <c r="F11">
        <v>0.84</v>
      </c>
      <c r="G11">
        <v>0.58919999999999995</v>
      </c>
      <c r="H11">
        <v>0.16689999999999999</v>
      </c>
      <c r="I11">
        <v>0.4052</v>
      </c>
      <c r="J11">
        <v>3.72</v>
      </c>
      <c r="K11">
        <v>8.9840000000000007E-3</v>
      </c>
      <c r="L11">
        <v>34701.68</v>
      </c>
      <c r="M11">
        <v>8.3000000000000001E-3</v>
      </c>
      <c r="N11">
        <v>32825.96</v>
      </c>
      <c r="O11" s="1">
        <v>6.8400000000000004E-4</v>
      </c>
      <c r="P11" s="1">
        <v>1875.72</v>
      </c>
    </row>
    <row r="12" spans="1:16" x14ac:dyDescent="0.2">
      <c r="A12" t="s">
        <v>22</v>
      </c>
      <c r="B12" t="s">
        <v>18</v>
      </c>
      <c r="C12">
        <v>0.71950000000000003</v>
      </c>
      <c r="D12" s="1">
        <v>0.96330000000000005</v>
      </c>
      <c r="E12" s="1">
        <v>4.92</v>
      </c>
      <c r="F12" s="1">
        <v>0.94</v>
      </c>
      <c r="G12" s="1">
        <v>0.68679999999999997</v>
      </c>
      <c r="H12">
        <v>0.19220000000000001</v>
      </c>
      <c r="I12">
        <v>0.4088</v>
      </c>
      <c r="J12">
        <v>1</v>
      </c>
      <c r="K12" s="1">
        <v>7.5600000000000005E-4</v>
      </c>
      <c r="L12" s="1">
        <v>2308.16</v>
      </c>
      <c r="O12">
        <v>7.5600000000000005E-4</v>
      </c>
      <c r="P12">
        <v>2308.16</v>
      </c>
    </row>
    <row r="13" spans="1:16" x14ac:dyDescent="0.2">
      <c r="A13" t="s">
        <v>22</v>
      </c>
      <c r="B13" t="s">
        <v>19</v>
      </c>
      <c r="C13">
        <v>0.73319999999999996</v>
      </c>
      <c r="D13">
        <v>0.94669999999999999</v>
      </c>
      <c r="E13">
        <v>4.88</v>
      </c>
      <c r="F13">
        <v>0.9</v>
      </c>
      <c r="G13">
        <v>0.59079999999999999</v>
      </c>
      <c r="H13" s="1">
        <v>0.1946</v>
      </c>
      <c r="I13" s="1">
        <v>0.42609999999999998</v>
      </c>
      <c r="J13">
        <v>1</v>
      </c>
      <c r="K13">
        <v>7.9100000000000004E-4</v>
      </c>
      <c r="L13">
        <v>2378</v>
      </c>
      <c r="O13">
        <v>7.9100000000000004E-4</v>
      </c>
      <c r="P13">
        <v>2378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4811-0192-7049-A49E-14BD1B5B973D}">
  <dimension ref="A1:D72"/>
  <sheetViews>
    <sheetView tabSelected="1" workbookViewId="0">
      <selection activeCell="O19" sqref="O19"/>
    </sheetView>
  </sheetViews>
  <sheetFormatPr baseColWidth="10" defaultRowHeight="15" x14ac:dyDescent="0.2"/>
  <sheetData>
    <row r="1" spans="1:4" ht="19" x14ac:dyDescent="0.25">
      <c r="A1" s="2" t="s">
        <v>23</v>
      </c>
    </row>
    <row r="3" spans="1:4" ht="16" x14ac:dyDescent="0.2">
      <c r="A3" s="3" t="s">
        <v>24</v>
      </c>
    </row>
    <row r="4" spans="1:4" x14ac:dyDescent="0.2">
      <c r="A4" s="4" t="s">
        <v>25</v>
      </c>
      <c r="B4" s="4" t="s">
        <v>17</v>
      </c>
      <c r="C4" s="4" t="s">
        <v>18</v>
      </c>
      <c r="D4" s="4" t="s">
        <v>19</v>
      </c>
    </row>
    <row r="5" spans="1:4" x14ac:dyDescent="0.2">
      <c r="A5" s="5" t="s">
        <v>16</v>
      </c>
      <c r="B5" s="7">
        <f>SUMIFS('RAG Comparison'!$C$2:$C$13,'RAG Comparison'!$A$2:$A$13,$A5,'RAG Comparison'!$B$2:$B$13,B$4)</f>
        <v>0.63290000000000002</v>
      </c>
      <c r="C5" s="7">
        <f>SUMIFS('RAG Comparison'!$C$2:$C$13,'RAG Comparison'!$A$2:$A$13,$A5,'RAG Comparison'!$B$2:$B$13,C$4)</f>
        <v>0.60140000000000005</v>
      </c>
      <c r="D5" s="7">
        <f>SUMIFS('RAG Comparison'!$C$2:$C$13,'RAG Comparison'!$A$2:$A$13,$A5,'RAG Comparison'!$B$2:$B$13,D$4)</f>
        <v>0.61529999999999996</v>
      </c>
    </row>
    <row r="6" spans="1:4" x14ac:dyDescent="0.2">
      <c r="A6" t="s">
        <v>20</v>
      </c>
      <c r="B6" s="6">
        <f>SUMIFS('RAG Comparison'!$C$2:$C$13,'RAG Comparison'!$A$2:$A$13,$A6,'RAG Comparison'!$B$2:$B$13,B$4)</f>
        <v>0.68640000000000001</v>
      </c>
      <c r="C6" s="6">
        <f>SUMIFS('RAG Comparison'!$C$2:$C$13,'RAG Comparison'!$A$2:$A$13,$A6,'RAG Comparison'!$B$2:$B$13,C$4)</f>
        <v>0.50339999999999996</v>
      </c>
      <c r="D6" s="6">
        <f>SUMIFS('RAG Comparison'!$C$2:$C$13,'RAG Comparison'!$A$2:$A$13,$A6,'RAG Comparison'!$B$2:$B$13,D$4)</f>
        <v>0.58909999999999996</v>
      </c>
    </row>
    <row r="7" spans="1:4" x14ac:dyDescent="0.2">
      <c r="A7" t="s">
        <v>21</v>
      </c>
      <c r="B7" s="6">
        <f>SUMIFS('RAG Comparison'!$C$2:$C$13,'RAG Comparison'!$A$2:$A$13,$A7,'RAG Comparison'!$B$2:$B$13,B$4)</f>
        <v>0.81699999999999995</v>
      </c>
      <c r="C7" s="6">
        <f>SUMIFS('RAG Comparison'!$C$2:$C$13,'RAG Comparison'!$A$2:$A$13,$A7,'RAG Comparison'!$B$2:$B$13,C$4)</f>
        <v>0.59199999999999997</v>
      </c>
      <c r="D7" s="6">
        <f>SUMIFS('RAG Comparison'!$C$2:$C$13,'RAG Comparison'!$A$2:$A$13,$A7,'RAG Comparison'!$B$2:$B$13,D$4)</f>
        <v>0.66749999999999998</v>
      </c>
    </row>
    <row r="8" spans="1:4" x14ac:dyDescent="0.2">
      <c r="A8" t="s">
        <v>22</v>
      </c>
      <c r="B8" s="6">
        <f>SUMIFS('RAG Comparison'!$C$2:$C$13,'RAG Comparison'!$A$2:$A$13,$A8,'RAG Comparison'!$B$2:$B$13,B$4)</f>
        <v>0.76580000000000004</v>
      </c>
      <c r="C8" s="6">
        <f>SUMIFS('RAG Comparison'!$C$2:$C$13,'RAG Comparison'!$A$2:$A$13,$A8,'RAG Comparison'!$B$2:$B$13,C$4)</f>
        <v>0.71950000000000003</v>
      </c>
      <c r="D8" s="6">
        <f>SUMIFS('RAG Comparison'!$C$2:$C$13,'RAG Comparison'!$A$2:$A$13,$A8,'RAG Comparison'!$B$2:$B$13,D$4)</f>
        <v>0.73319999999999996</v>
      </c>
    </row>
    <row r="11" spans="1:4" ht="16" x14ac:dyDescent="0.2">
      <c r="A11" s="3" t="s">
        <v>26</v>
      </c>
    </row>
    <row r="12" spans="1:4" x14ac:dyDescent="0.2">
      <c r="A12" s="4" t="s">
        <v>25</v>
      </c>
      <c r="B12" s="4" t="s">
        <v>17</v>
      </c>
      <c r="C12" s="4" t="s">
        <v>18</v>
      </c>
      <c r="D12" s="4" t="s">
        <v>19</v>
      </c>
    </row>
    <row r="13" spans="1:4" x14ac:dyDescent="0.2">
      <c r="A13" s="8" t="s">
        <v>16</v>
      </c>
      <c r="B13" s="7">
        <f>SUMIFS('RAG Comparison'!$D$2:$D$13,'RAG Comparison'!$A$2:$A$13,$A13,'RAG Comparison'!$B$2:$B$13,B$12)</f>
        <v>0.84</v>
      </c>
      <c r="C13" s="7">
        <f>SUMIFS('RAG Comparison'!$D$2:$D$13,'RAG Comparison'!$A$2:$A$13,$A13,'RAG Comparison'!$B$2:$B$13,C$12)</f>
        <v>0.88</v>
      </c>
      <c r="D13" s="7">
        <f>SUMIFS('RAG Comparison'!$D$2:$D$13,'RAG Comparison'!$A$2:$A$13,$A13,'RAG Comparison'!$B$2:$B$13,D$12)</f>
        <v>0.86</v>
      </c>
    </row>
    <row r="14" spans="1:4" x14ac:dyDescent="0.2">
      <c r="A14" s="9" t="s">
        <v>20</v>
      </c>
      <c r="B14" s="6">
        <f>SUMIFS('RAG Comparison'!$D$2:$D$13,'RAG Comparison'!$A$2:$A$13,$A14,'RAG Comparison'!$B$2:$B$13,B$12)</f>
        <v>0.87729999999999997</v>
      </c>
      <c r="C14" s="6">
        <f>SUMIFS('RAG Comparison'!$D$2:$D$13,'RAG Comparison'!$A$2:$A$13,$A14,'RAG Comparison'!$B$2:$B$13,C$12)</f>
        <v>0.72399999999999998</v>
      </c>
      <c r="D14" s="6">
        <f>SUMIFS('RAG Comparison'!$D$2:$D$13,'RAG Comparison'!$A$2:$A$13,$A14,'RAG Comparison'!$B$2:$B$13,D$12)</f>
        <v>0.72</v>
      </c>
    </row>
    <row r="15" spans="1:4" x14ac:dyDescent="0.2">
      <c r="A15" s="9" t="s">
        <v>21</v>
      </c>
      <c r="B15" s="6">
        <f>SUMIFS('RAG Comparison'!$D$2:$D$13,'RAG Comparison'!$A$2:$A$13,$A15,'RAG Comparison'!$B$2:$B$13,B$12)</f>
        <v>0.94799999999999995</v>
      </c>
      <c r="C15" s="6">
        <f>SUMIFS('RAG Comparison'!$D$2:$D$13,'RAG Comparison'!$A$2:$A$13,$A15,'RAG Comparison'!$B$2:$B$13,C$12)</f>
        <v>0.82330000000000003</v>
      </c>
      <c r="D15" s="6">
        <f>SUMIFS('RAG Comparison'!$D$2:$D$13,'RAG Comparison'!$A$2:$A$13,$A15,'RAG Comparison'!$B$2:$B$13,D$12)</f>
        <v>0.81530000000000002</v>
      </c>
    </row>
    <row r="16" spans="1:4" x14ac:dyDescent="0.2">
      <c r="A16" s="9" t="s">
        <v>22</v>
      </c>
      <c r="B16" s="6">
        <f>SUMIFS('RAG Comparison'!$D$2:$D$13,'RAG Comparison'!$A$2:$A$13,$A16,'RAG Comparison'!$B$2:$B$13,B$12)</f>
        <v>0.87</v>
      </c>
      <c r="C16" s="6">
        <f>SUMIFS('RAG Comparison'!$D$2:$D$13,'RAG Comparison'!$A$2:$A$13,$A16,'RAG Comparison'!$B$2:$B$13,C$12)</f>
        <v>0.96330000000000005</v>
      </c>
      <c r="D16" s="6">
        <f>SUMIFS('RAG Comparison'!$D$2:$D$13,'RAG Comparison'!$A$2:$A$13,$A16,'RAG Comparison'!$B$2:$B$13,D$12)</f>
        <v>0.94669999999999999</v>
      </c>
    </row>
    <row r="19" spans="1:4" ht="16" x14ac:dyDescent="0.2">
      <c r="A19" s="3" t="s">
        <v>27</v>
      </c>
    </row>
    <row r="20" spans="1:4" x14ac:dyDescent="0.2">
      <c r="A20" s="4" t="s">
        <v>25</v>
      </c>
      <c r="B20" s="4" t="s">
        <v>17</v>
      </c>
      <c r="C20" s="4" t="s">
        <v>18</v>
      </c>
      <c r="D20" s="4" t="s">
        <v>19</v>
      </c>
    </row>
    <row r="21" spans="1:4" x14ac:dyDescent="0.2">
      <c r="A21" s="8" t="s">
        <v>16</v>
      </c>
      <c r="B21" s="7">
        <f>SUMIFS('RAG Comparison'!$F$2:$F$13,'RAG Comparison'!$A$2:$A$13,$A21,'RAG Comparison'!$B$2:$B$13,B$20)</f>
        <v>0.72</v>
      </c>
      <c r="C21" s="7">
        <f>SUMIFS('RAG Comparison'!$F$2:$F$13,'RAG Comparison'!$A$2:$A$13,$A21,'RAG Comparison'!$B$2:$B$13,C$20)</f>
        <v>0.8</v>
      </c>
      <c r="D21" s="7">
        <f>SUMIFS('RAG Comparison'!$F$2:$F$13,'RAG Comparison'!$A$2:$A$13,$A21,'RAG Comparison'!$B$2:$B$13,D$20)</f>
        <v>0.81</v>
      </c>
    </row>
    <row r="22" spans="1:4" x14ac:dyDescent="0.2">
      <c r="A22" s="9" t="s">
        <v>20</v>
      </c>
      <c r="B22" s="6">
        <f>SUMIFS('RAG Comparison'!$F$2:$F$13,'RAG Comparison'!$A$2:$A$13,$A22,'RAG Comparison'!$B$2:$B$13,B$20)</f>
        <v>0.94</v>
      </c>
      <c r="C22" s="6">
        <f>SUMIFS('RAG Comparison'!$F$2:$F$13,'RAG Comparison'!$A$2:$A$13,$A22,'RAG Comparison'!$B$2:$B$13,C$20)</f>
        <v>0.85</v>
      </c>
      <c r="D22" s="6">
        <f>SUMIFS('RAG Comparison'!$F$2:$F$13,'RAG Comparison'!$A$2:$A$13,$A22,'RAG Comparison'!$B$2:$B$13,D$20)</f>
        <v>0.84</v>
      </c>
    </row>
    <row r="23" spans="1:4" x14ac:dyDescent="0.2">
      <c r="A23" s="9" t="s">
        <v>21</v>
      </c>
      <c r="B23" s="6">
        <f>SUMIFS('RAG Comparison'!$F$2:$F$13,'RAG Comparison'!$A$2:$A$13,$A23,'RAG Comparison'!$B$2:$B$13,B$20)</f>
        <v>0.96</v>
      </c>
      <c r="C23" s="6">
        <f>SUMIFS('RAG Comparison'!$F$2:$F$13,'RAG Comparison'!$A$2:$A$13,$A23,'RAG Comparison'!$B$2:$B$13,C$20)</f>
        <v>0.81</v>
      </c>
      <c r="D23" s="6">
        <f>SUMIFS('RAG Comparison'!$F$2:$F$13,'RAG Comparison'!$A$2:$A$13,$A23,'RAG Comparison'!$B$2:$B$13,D$20)</f>
        <v>0.82</v>
      </c>
    </row>
    <row r="24" spans="1:4" x14ac:dyDescent="0.2">
      <c r="A24" s="9" t="s">
        <v>22</v>
      </c>
      <c r="B24" s="6">
        <f>SUMIFS('RAG Comparison'!$F$2:$F$13,'RAG Comparison'!$A$2:$A$13,$A24,'RAG Comparison'!$B$2:$B$13,B$20)</f>
        <v>0.84</v>
      </c>
      <c r="C24" s="6">
        <f>SUMIFS('RAG Comparison'!$F$2:$F$13,'RAG Comparison'!$A$2:$A$13,$A24,'RAG Comparison'!$B$2:$B$13,C$20)</f>
        <v>0.94</v>
      </c>
      <c r="D24" s="6">
        <f>SUMIFS('RAG Comparison'!$F$2:$F$13,'RAG Comparison'!$A$2:$A$13,$A24,'RAG Comparison'!$B$2:$B$13,D$20)</f>
        <v>0.9</v>
      </c>
    </row>
    <row r="27" spans="1:4" ht="16" x14ac:dyDescent="0.2">
      <c r="A27" s="3" t="s">
        <v>28</v>
      </c>
    </row>
    <row r="28" spans="1:4" x14ac:dyDescent="0.2">
      <c r="A28" s="4" t="s">
        <v>25</v>
      </c>
      <c r="B28" s="4" t="s">
        <v>17</v>
      </c>
      <c r="C28" s="4" t="s">
        <v>18</v>
      </c>
      <c r="D28" s="4" t="s">
        <v>19</v>
      </c>
    </row>
    <row r="29" spans="1:4" x14ac:dyDescent="0.2">
      <c r="A29" s="8" t="s">
        <v>16</v>
      </c>
      <c r="B29" s="11">
        <f>SUMIFS('RAG Comparison'!$E$2:$E$13,'RAG Comparison'!$A$2:$A$13,$A29,'RAG Comparison'!$B$2:$B$13,B$28)</f>
        <v>4.4400000000000004</v>
      </c>
      <c r="C29" s="11">
        <f>SUMIFS('RAG Comparison'!$E$2:$E$13,'RAG Comparison'!$A$2:$A$13,$A29,'RAG Comparison'!$B$2:$B$13,C$28)</f>
        <v>4.6399999999999997</v>
      </c>
      <c r="D29" s="11">
        <f>SUMIFS('RAG Comparison'!$E$2:$E$13,'RAG Comparison'!$A$2:$A$13,$A29,'RAG Comparison'!$B$2:$B$13,D$28)</f>
        <v>4.5599999999999996</v>
      </c>
    </row>
    <row r="30" spans="1:4" x14ac:dyDescent="0.2">
      <c r="A30" s="9" t="s">
        <v>20</v>
      </c>
      <c r="B30" s="10">
        <f>SUMIFS('RAG Comparison'!$E$2:$E$13,'RAG Comparison'!$A$2:$A$13,$A30,'RAG Comparison'!$B$2:$B$13,B$28)</f>
        <v>4.92</v>
      </c>
      <c r="C30" s="10">
        <f>SUMIFS('RAG Comparison'!$E$2:$E$13,'RAG Comparison'!$A$2:$A$13,$A30,'RAG Comparison'!$B$2:$B$13,C$28)</f>
        <v>5</v>
      </c>
      <c r="D30" s="10">
        <f>SUMIFS('RAG Comparison'!$E$2:$E$13,'RAG Comparison'!$A$2:$A$13,$A30,'RAG Comparison'!$B$2:$B$13,D$28)</f>
        <v>4.68</v>
      </c>
    </row>
    <row r="31" spans="1:4" x14ac:dyDescent="0.2">
      <c r="A31" s="9" t="s">
        <v>21</v>
      </c>
      <c r="B31" s="10">
        <f>SUMIFS('RAG Comparison'!$E$2:$E$13,'RAG Comparison'!$A$2:$A$13,$A31,'RAG Comparison'!$B$2:$B$13,B$28)</f>
        <v>5</v>
      </c>
      <c r="C31" s="10">
        <f>SUMIFS('RAG Comparison'!$E$2:$E$13,'RAG Comparison'!$A$2:$A$13,$A31,'RAG Comparison'!$B$2:$B$13,C$28)</f>
        <v>4.5199999999999996</v>
      </c>
      <c r="D31" s="10">
        <f>SUMIFS('RAG Comparison'!$E$2:$E$13,'RAG Comparison'!$A$2:$A$13,$A31,'RAG Comparison'!$B$2:$B$13,D$28)</f>
        <v>4.5599999999999996</v>
      </c>
    </row>
    <row r="32" spans="1:4" x14ac:dyDescent="0.2">
      <c r="A32" s="9" t="s">
        <v>22</v>
      </c>
      <c r="B32" s="10">
        <f>SUMIFS('RAG Comparison'!$E$2:$E$13,'RAG Comparison'!$A$2:$A$13,$A32,'RAG Comparison'!$B$2:$B$13,B$28)</f>
        <v>4.8</v>
      </c>
      <c r="C32" s="10">
        <f>SUMIFS('RAG Comparison'!$E$2:$E$13,'RAG Comparison'!$A$2:$A$13,$A32,'RAG Comparison'!$B$2:$B$13,C$28)</f>
        <v>4.92</v>
      </c>
      <c r="D32" s="10">
        <f>SUMIFS('RAG Comparison'!$E$2:$E$13,'RAG Comparison'!$A$2:$A$13,$A32,'RAG Comparison'!$B$2:$B$13,D$28)</f>
        <v>4.88</v>
      </c>
    </row>
    <row r="35" spans="1:4" ht="16" x14ac:dyDescent="0.2">
      <c r="A35" s="3" t="s">
        <v>29</v>
      </c>
    </row>
    <row r="36" spans="1:4" x14ac:dyDescent="0.2">
      <c r="A36" s="4" t="s">
        <v>25</v>
      </c>
      <c r="B36" s="4" t="s">
        <v>17</v>
      </c>
      <c r="C36" s="4" t="s">
        <v>18</v>
      </c>
      <c r="D36" s="4" t="s">
        <v>19</v>
      </c>
    </row>
    <row r="37" spans="1:4" x14ac:dyDescent="0.2">
      <c r="A37" s="8" t="s">
        <v>16</v>
      </c>
      <c r="B37" s="7">
        <f>SUMIFS('RAG Comparison'!$G$2:$G$13,'RAG Comparison'!$A$2:$A$13,$A37,'RAG Comparison'!$B$2:$B$13,B$36)</f>
        <v>0.44</v>
      </c>
      <c r="C37" s="7">
        <f>SUMIFS('RAG Comparison'!$G$2:$G$13,'RAG Comparison'!$A$2:$A$13,$A37,'RAG Comparison'!$B$2:$B$13,C$36)</f>
        <v>0.44359999999999999</v>
      </c>
      <c r="D37" s="7">
        <f>SUMIFS('RAG Comparison'!$G$2:$G$13,'RAG Comparison'!$A$2:$A$13,$A37,'RAG Comparison'!$B$2:$B$13,D$36)</f>
        <v>0.52759999999999996</v>
      </c>
    </row>
    <row r="38" spans="1:4" x14ac:dyDescent="0.2">
      <c r="A38" s="9" t="s">
        <v>20</v>
      </c>
      <c r="B38" s="6">
        <f>SUMIFS('RAG Comparison'!$G$2:$G$13,'RAG Comparison'!$A$2:$A$13,$A38,'RAG Comparison'!$B$2:$B$13,B$36)</f>
        <v>0.55600000000000005</v>
      </c>
      <c r="C38" s="6">
        <f>SUMIFS('RAG Comparison'!$G$2:$G$13,'RAG Comparison'!$A$2:$A$13,$A38,'RAG Comparison'!$B$2:$B$13,C$36)</f>
        <v>0.41639999999999999</v>
      </c>
      <c r="D38" s="6">
        <f>SUMIFS('RAG Comparison'!$G$2:$G$13,'RAG Comparison'!$A$2:$A$13,$A38,'RAG Comparison'!$B$2:$B$13,D$36)</f>
        <v>0.47320000000000001</v>
      </c>
    </row>
    <row r="39" spans="1:4" x14ac:dyDescent="0.2">
      <c r="A39" s="9" t="s">
        <v>21</v>
      </c>
      <c r="B39" s="6">
        <f>SUMIFS('RAG Comparison'!$G$2:$G$13,'RAG Comparison'!$A$2:$A$13,$A39,'RAG Comparison'!$B$2:$B$13,B$36)</f>
        <v>0.56000000000000005</v>
      </c>
      <c r="C39" s="6">
        <f>SUMIFS('RAG Comparison'!$G$2:$G$13,'RAG Comparison'!$A$2:$A$13,$A39,'RAG Comparison'!$B$2:$B$13,C$36)</f>
        <v>0.45679999999999998</v>
      </c>
      <c r="D39" s="6">
        <f>SUMIFS('RAG Comparison'!$G$2:$G$13,'RAG Comparison'!$A$2:$A$13,$A39,'RAG Comparison'!$B$2:$B$13,D$36)</f>
        <v>0.46279999999999999</v>
      </c>
    </row>
    <row r="40" spans="1:4" x14ac:dyDescent="0.2">
      <c r="A40" s="9" t="s">
        <v>22</v>
      </c>
      <c r="B40" s="6">
        <f>SUMIFS('RAG Comparison'!$G$2:$G$13,'RAG Comparison'!$A$2:$A$13,$A40,'RAG Comparison'!$B$2:$B$13,B$36)</f>
        <v>0.58919999999999995</v>
      </c>
      <c r="C40" s="6">
        <f>SUMIFS('RAG Comparison'!$G$2:$G$13,'RAG Comparison'!$A$2:$A$13,$A40,'RAG Comparison'!$B$2:$B$13,C$36)</f>
        <v>0.68679999999999997</v>
      </c>
      <c r="D40" s="6">
        <f>SUMIFS('RAG Comparison'!$G$2:$G$13,'RAG Comparison'!$A$2:$A$13,$A40,'RAG Comparison'!$B$2:$B$13,D$36)</f>
        <v>0.59079999999999999</v>
      </c>
    </row>
    <row r="43" spans="1:4" ht="16" x14ac:dyDescent="0.2">
      <c r="A43" s="3" t="s">
        <v>30</v>
      </c>
    </row>
    <row r="44" spans="1:4" x14ac:dyDescent="0.2">
      <c r="A44" s="4" t="s">
        <v>25</v>
      </c>
      <c r="B44" s="4" t="s">
        <v>17</v>
      </c>
      <c r="C44" s="4" t="s">
        <v>18</v>
      </c>
      <c r="D44" s="4" t="s">
        <v>19</v>
      </c>
    </row>
    <row r="45" spans="1:4" x14ac:dyDescent="0.2">
      <c r="A45" s="8" t="s">
        <v>16</v>
      </c>
      <c r="B45" s="13">
        <f>SUMIFS('RAG Comparison'!$K$2:$K$13,'RAG Comparison'!$A$2:$A$13,$A45,'RAG Comparison'!$B$2:$B$13,B$44)</f>
        <v>7.9469999999999992E-3</v>
      </c>
      <c r="C45" s="13">
        <f>SUMIFS('RAG Comparison'!$K$2:$K$13,'RAG Comparison'!$A$2:$A$13,$A45,'RAG Comparison'!$B$2:$B$13,C$44)</f>
        <v>7.4700000000000005E-4</v>
      </c>
      <c r="D45" s="13">
        <f>SUMIFS('RAG Comparison'!$K$2:$K$13,'RAG Comparison'!$A$2:$A$13,$A45,'RAG Comparison'!$B$2:$B$13,D$44)</f>
        <v>6.9700000000000003E-4</v>
      </c>
    </row>
    <row r="46" spans="1:4" x14ac:dyDescent="0.2">
      <c r="A46" s="9" t="s">
        <v>20</v>
      </c>
      <c r="B46" s="12">
        <f>SUMIFS('RAG Comparison'!$K$2:$K$13,'RAG Comparison'!$A$2:$A$13,$A46,'RAG Comparison'!$B$2:$B$13,B$44)</f>
        <v>9.3489999999999997E-3</v>
      </c>
      <c r="C46" s="12">
        <f>SUMIFS('RAG Comparison'!$K$2:$K$13,'RAG Comparison'!$A$2:$A$13,$A46,'RAG Comparison'!$B$2:$B$13,C$44)</f>
        <v>8.8500000000000004E-4</v>
      </c>
      <c r="D46" s="12">
        <f>SUMIFS('RAG Comparison'!$K$2:$K$13,'RAG Comparison'!$A$2:$A$13,$A46,'RAG Comparison'!$B$2:$B$13,D$44)</f>
        <v>8.9800000000000004E-4</v>
      </c>
    </row>
    <row r="47" spans="1:4" x14ac:dyDescent="0.2">
      <c r="A47" s="9" t="s">
        <v>21</v>
      </c>
      <c r="B47" s="12">
        <f>SUMIFS('RAG Comparison'!$K$2:$K$13,'RAG Comparison'!$A$2:$A$13,$A47,'RAG Comparison'!$B$2:$B$13,B$44)</f>
        <v>8.6020000000000003E-3</v>
      </c>
      <c r="C47" s="12">
        <f>SUMIFS('RAG Comparison'!$K$2:$K$13,'RAG Comparison'!$A$2:$A$13,$A47,'RAG Comparison'!$B$2:$B$13,C$44)</f>
        <v>8.2299999999999995E-4</v>
      </c>
      <c r="D47" s="12">
        <f>SUMIFS('RAG Comparison'!$K$2:$K$13,'RAG Comparison'!$A$2:$A$13,$A47,'RAG Comparison'!$B$2:$B$13,D$44)</f>
        <v>8.7200000000000005E-4</v>
      </c>
    </row>
    <row r="48" spans="1:4" x14ac:dyDescent="0.2">
      <c r="A48" s="9" t="s">
        <v>22</v>
      </c>
      <c r="B48" s="12">
        <f>SUMIFS('RAG Comparison'!$K$2:$K$13,'RAG Comparison'!$A$2:$A$13,$A48,'RAG Comparison'!$B$2:$B$13,B$44)</f>
        <v>8.9840000000000007E-3</v>
      </c>
      <c r="C48" s="12">
        <f>SUMIFS('RAG Comparison'!$K$2:$K$13,'RAG Comparison'!$A$2:$A$13,$A48,'RAG Comparison'!$B$2:$B$13,C$44)</f>
        <v>7.5600000000000005E-4</v>
      </c>
      <c r="D48" s="12">
        <f>SUMIFS('RAG Comparison'!$K$2:$K$13,'RAG Comparison'!$A$2:$A$13,$A48,'RAG Comparison'!$B$2:$B$13,D$44)</f>
        <v>7.9100000000000004E-4</v>
      </c>
    </row>
    <row r="51" spans="1:4" ht="16" x14ac:dyDescent="0.2">
      <c r="A51" s="3" t="s">
        <v>31</v>
      </c>
    </row>
    <row r="52" spans="1:4" x14ac:dyDescent="0.2">
      <c r="A52" s="4" t="s">
        <v>25</v>
      </c>
      <c r="B52" s="4" t="s">
        <v>17</v>
      </c>
      <c r="C52" s="4" t="s">
        <v>18</v>
      </c>
      <c r="D52" s="4" t="s">
        <v>19</v>
      </c>
    </row>
    <row r="53" spans="1:4" x14ac:dyDescent="0.2">
      <c r="A53" s="8" t="s">
        <v>16</v>
      </c>
      <c r="B53" s="13">
        <f>SUMIFS('RAG Comparison'!$O$2:$O$13,'RAG Comparison'!$A$2:$A$13,$A53,'RAG Comparison'!$B$2:$B$13,B$52)</f>
        <v>5.2700000000000002E-4</v>
      </c>
      <c r="C53" s="13">
        <f>SUMIFS('RAG Comparison'!$O$2:$O$13,'RAG Comparison'!$A$2:$A$13,$A53,'RAG Comparison'!$B$2:$B$13,C$52)</f>
        <v>7.4700000000000005E-4</v>
      </c>
      <c r="D53" s="13">
        <f>SUMIFS('RAG Comparison'!$O$2:$O$13,'RAG Comparison'!$A$2:$A$13,$A53,'RAG Comparison'!$B$2:$B$13,D$52)</f>
        <v>6.9700000000000003E-4</v>
      </c>
    </row>
    <row r="54" spans="1:4" x14ac:dyDescent="0.2">
      <c r="A54" s="9" t="s">
        <v>20</v>
      </c>
      <c r="B54" s="12">
        <f>SUMIFS('RAG Comparison'!$O$2:$O$13,'RAG Comparison'!$A$2:$A$13,$A54,'RAG Comparison'!$B$2:$B$13,B$52)</f>
        <v>9.9400000000000009E-4</v>
      </c>
      <c r="C54" s="12">
        <f>SUMIFS('RAG Comparison'!$O$2:$O$13,'RAG Comparison'!$A$2:$A$13,$A54,'RAG Comparison'!$B$2:$B$13,C$52)</f>
        <v>8.8500000000000004E-4</v>
      </c>
      <c r="D54" s="12">
        <f>SUMIFS('RAG Comparison'!$O$2:$O$13,'RAG Comparison'!$A$2:$A$13,$A54,'RAG Comparison'!$B$2:$B$13,D$52)</f>
        <v>8.9800000000000004E-4</v>
      </c>
    </row>
    <row r="55" spans="1:4" x14ac:dyDescent="0.2">
      <c r="A55" s="9" t="s">
        <v>21</v>
      </c>
      <c r="B55" s="12">
        <f>SUMIFS('RAG Comparison'!$O$2:$O$13,'RAG Comparison'!$A$2:$A$13,$A55,'RAG Comparison'!$B$2:$B$13,B$52)</f>
        <v>8.8599999999999996E-4</v>
      </c>
      <c r="C55" s="12">
        <f>SUMIFS('RAG Comparison'!$O$2:$O$13,'RAG Comparison'!$A$2:$A$13,$A55,'RAG Comparison'!$B$2:$B$13,C$52)</f>
        <v>8.2299999999999995E-4</v>
      </c>
      <c r="D55" s="12">
        <f>SUMIFS('RAG Comparison'!$O$2:$O$13,'RAG Comparison'!$A$2:$A$13,$A55,'RAG Comparison'!$B$2:$B$13,D$52)</f>
        <v>8.7200000000000005E-4</v>
      </c>
    </row>
    <row r="56" spans="1:4" x14ac:dyDescent="0.2">
      <c r="A56" s="9" t="s">
        <v>22</v>
      </c>
      <c r="B56" s="12">
        <f>SUMIFS('RAG Comparison'!$O$2:$O$13,'RAG Comparison'!$A$2:$A$13,$A56,'RAG Comparison'!$B$2:$B$13,B$52)</f>
        <v>6.8400000000000004E-4</v>
      </c>
      <c r="C56" s="12">
        <f>SUMIFS('RAG Comparison'!$O$2:$O$13,'RAG Comparison'!$A$2:$A$13,$A56,'RAG Comparison'!$B$2:$B$13,C$52)</f>
        <v>7.5600000000000005E-4</v>
      </c>
      <c r="D56" s="12">
        <f>SUMIFS('RAG Comparison'!$O$2:$O$13,'RAG Comparison'!$A$2:$A$13,$A56,'RAG Comparison'!$B$2:$B$13,D$52)</f>
        <v>7.9100000000000004E-4</v>
      </c>
    </row>
    <row r="59" spans="1:4" ht="16" x14ac:dyDescent="0.2">
      <c r="A59" s="3" t="s">
        <v>32</v>
      </c>
    </row>
    <row r="60" spans="1:4" x14ac:dyDescent="0.2">
      <c r="A60" s="4" t="s">
        <v>25</v>
      </c>
      <c r="B60" s="4" t="s">
        <v>17</v>
      </c>
      <c r="C60" s="4" t="s">
        <v>18</v>
      </c>
      <c r="D60" s="4" t="s">
        <v>19</v>
      </c>
    </row>
    <row r="61" spans="1:4" x14ac:dyDescent="0.2">
      <c r="A61" s="8" t="s">
        <v>16</v>
      </c>
      <c r="B61" s="15">
        <f>SUMIFS('RAG Comparison'!$L$2:$L$13,'RAG Comparison'!$A$2:$A$13,$A61,'RAG Comparison'!$B$2:$B$13,B$60)</f>
        <v>30420.48</v>
      </c>
      <c r="C61" s="15">
        <f>SUMIFS('RAG Comparison'!$L$2:$L$13,'RAG Comparison'!$A$2:$A$13,$A61,'RAG Comparison'!$B$2:$B$13,C$60)</f>
        <v>2243.88</v>
      </c>
      <c r="D61" s="15">
        <f>SUMIFS('RAG Comparison'!$L$2:$L$13,'RAG Comparison'!$A$2:$A$13,$A61,'RAG Comparison'!$B$2:$B$13,D$60)</f>
        <v>2126.12</v>
      </c>
    </row>
    <row r="62" spans="1:4" x14ac:dyDescent="0.2">
      <c r="A62" s="9" t="s">
        <v>20</v>
      </c>
      <c r="B62" s="14">
        <f>SUMIFS('RAG Comparison'!$L$2:$L$13,'RAG Comparison'!$A$2:$A$13,$A62,'RAG Comparison'!$B$2:$B$13,B$60)</f>
        <v>35315.279999999999</v>
      </c>
      <c r="C62" s="14">
        <f>SUMIFS('RAG Comparison'!$L$2:$L$13,'RAG Comparison'!$A$2:$A$13,$A62,'RAG Comparison'!$B$2:$B$13,C$60)</f>
        <v>2297.3200000000002</v>
      </c>
      <c r="D62" s="14">
        <f>SUMIFS('RAG Comparison'!$L$2:$L$13,'RAG Comparison'!$A$2:$A$13,$A62,'RAG Comparison'!$B$2:$B$13,D$60)</f>
        <v>2391.6799999999998</v>
      </c>
    </row>
    <row r="63" spans="1:4" x14ac:dyDescent="0.2">
      <c r="A63" s="9" t="s">
        <v>21</v>
      </c>
      <c r="B63" s="14">
        <f>SUMIFS('RAG Comparison'!$L$2:$L$13,'RAG Comparison'!$A$2:$A$13,$A63,'RAG Comparison'!$B$2:$B$13,B$60)</f>
        <v>32730.76</v>
      </c>
      <c r="C63" s="14">
        <f>SUMIFS('RAG Comparison'!$L$2:$L$13,'RAG Comparison'!$A$2:$A$13,$A63,'RAG Comparison'!$B$2:$B$13,C$60)</f>
        <v>2285.2800000000002</v>
      </c>
      <c r="D63" s="14">
        <f>SUMIFS('RAG Comparison'!$L$2:$L$13,'RAG Comparison'!$A$2:$A$13,$A63,'RAG Comparison'!$B$2:$B$13,D$60)</f>
        <v>2403.8000000000002</v>
      </c>
    </row>
    <row r="64" spans="1:4" x14ac:dyDescent="0.2">
      <c r="A64" s="9" t="s">
        <v>22</v>
      </c>
      <c r="B64" s="14">
        <f>SUMIFS('RAG Comparison'!$L$2:$L$13,'RAG Comparison'!$A$2:$A$13,$A64,'RAG Comparison'!$B$2:$B$13,B$60)</f>
        <v>34701.68</v>
      </c>
      <c r="C64" s="14">
        <f>SUMIFS('RAG Comparison'!$L$2:$L$13,'RAG Comparison'!$A$2:$A$13,$A64,'RAG Comparison'!$B$2:$B$13,C$60)</f>
        <v>2308.16</v>
      </c>
      <c r="D64" s="14">
        <f>SUMIFS('RAG Comparison'!$L$2:$L$13,'RAG Comparison'!$A$2:$A$13,$A64,'RAG Comparison'!$B$2:$B$13,D$60)</f>
        <v>2378</v>
      </c>
    </row>
    <row r="67" spans="1:4" ht="16" x14ac:dyDescent="0.2">
      <c r="A67" s="3" t="s">
        <v>33</v>
      </c>
    </row>
    <row r="68" spans="1:4" x14ac:dyDescent="0.2">
      <c r="A68" s="4" t="s">
        <v>25</v>
      </c>
      <c r="B68" s="4" t="s">
        <v>17</v>
      </c>
      <c r="C68" s="4" t="s">
        <v>18</v>
      </c>
      <c r="D68" s="4" t="s">
        <v>19</v>
      </c>
    </row>
    <row r="69" spans="1:4" x14ac:dyDescent="0.2">
      <c r="A69" s="8" t="s">
        <v>16</v>
      </c>
      <c r="B69" s="15">
        <f>SUMIFS('RAG Comparison'!$P$2:$P$13,'RAG Comparison'!$A$2:$A$13,$A69,'RAG Comparison'!$B$2:$B$13,B$68)</f>
        <v>1374.52</v>
      </c>
      <c r="C69" s="15">
        <f>SUMIFS('RAG Comparison'!$P$2:$P$13,'RAG Comparison'!$A$2:$A$13,$A69,'RAG Comparison'!$B$2:$B$13,C$68)</f>
        <v>2243.88</v>
      </c>
      <c r="D69" s="15">
        <f>SUMIFS('RAG Comparison'!$P$2:$P$13,'RAG Comparison'!$A$2:$A$13,$A69,'RAG Comparison'!$B$2:$B$13,D$68)</f>
        <v>2126.12</v>
      </c>
    </row>
    <row r="70" spans="1:4" x14ac:dyDescent="0.2">
      <c r="A70" s="9" t="s">
        <v>20</v>
      </c>
      <c r="B70" s="14">
        <f>SUMIFS('RAG Comparison'!$P$2:$P$13,'RAG Comparison'!$A$2:$A$13,$A70,'RAG Comparison'!$B$2:$B$13,B$68)</f>
        <v>2514.6799999999998</v>
      </c>
      <c r="C70" s="14">
        <f>SUMIFS('RAG Comparison'!$P$2:$P$13,'RAG Comparison'!$A$2:$A$13,$A70,'RAG Comparison'!$B$2:$B$13,C$68)</f>
        <v>2297.3200000000002</v>
      </c>
      <c r="D70" s="14">
        <f>SUMIFS('RAG Comparison'!$P$2:$P$13,'RAG Comparison'!$A$2:$A$13,$A70,'RAG Comparison'!$B$2:$B$13,D$68)</f>
        <v>2391.6799999999998</v>
      </c>
    </row>
    <row r="71" spans="1:4" x14ac:dyDescent="0.2">
      <c r="A71" s="9" t="s">
        <v>21</v>
      </c>
      <c r="B71" s="14">
        <f>SUMIFS('RAG Comparison'!$P$2:$P$13,'RAG Comparison'!$A$2:$A$13,$A71,'RAG Comparison'!$B$2:$B$13,B$68)</f>
        <v>2076.88</v>
      </c>
      <c r="C71" s="14">
        <f>SUMIFS('RAG Comparison'!$P$2:$P$13,'RAG Comparison'!$A$2:$A$13,$A71,'RAG Comparison'!$B$2:$B$13,C$68)</f>
        <v>2285.2800000000002</v>
      </c>
      <c r="D71" s="14">
        <f>SUMIFS('RAG Comparison'!$P$2:$P$13,'RAG Comparison'!$A$2:$A$13,$A71,'RAG Comparison'!$B$2:$B$13,D$68)</f>
        <v>2403.8000000000002</v>
      </c>
    </row>
    <row r="72" spans="1:4" x14ac:dyDescent="0.2">
      <c r="A72" s="9" t="s">
        <v>22</v>
      </c>
      <c r="B72" s="14">
        <f>SUMIFS('RAG Comparison'!$P$2:$P$13,'RAG Comparison'!$A$2:$A$13,$A72,'RAG Comparison'!$B$2:$B$13,B$68)</f>
        <v>1875.72</v>
      </c>
      <c r="C72" s="14">
        <f>SUMIFS('RAG Comparison'!$P$2:$P$13,'RAG Comparison'!$A$2:$A$13,$A72,'RAG Comparison'!$B$2:$B$13,C$68)</f>
        <v>2308.16</v>
      </c>
      <c r="D72" s="14">
        <f>SUMIFS('RAG Comparison'!$P$2:$P$13,'RAG Comparison'!$A$2:$A$13,$A72,'RAG Comparison'!$B$2:$B$13,D$68)</f>
        <v>2378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RAG 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Sagun Devkota</cp:lastModifiedBy>
  <dcterms:created xsi:type="dcterms:W3CDTF">2026-07-27T16:53:15Z</dcterms:created>
  <dcterms:modified xsi:type="dcterms:W3CDTF">2026-07-27T17:37:47Z</dcterms:modified>
</cp:coreProperties>
</file>