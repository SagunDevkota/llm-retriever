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agundevkota/Documents/opensource/hierarchical-rag/data_evaluation/"/>
    </mc:Choice>
  </mc:AlternateContent>
  <xr:revisionPtr revIDLastSave="0" documentId="13_ncr:1_{227989A2-0473-394F-A737-BE26BD88209B}" xr6:coauthVersionLast="47" xr6:coauthVersionMax="47" xr10:uidLastSave="{00000000-0000-0000-0000-000000000000}"/>
  <bookViews>
    <workbookView xWindow="0" yWindow="760" windowWidth="30240" windowHeight="17240" activeTab="1" xr2:uid="{00000000-000D-0000-FFFF-FFFF00000000}"/>
  </bookViews>
  <sheets>
    <sheet name="RAG Compariso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2" l="1"/>
  <c r="C64" i="2"/>
  <c r="B64" i="2"/>
  <c r="D63" i="2"/>
  <c r="C63" i="2"/>
  <c r="B63" i="2"/>
  <c r="D62" i="2"/>
  <c r="C62" i="2"/>
  <c r="B62" i="2"/>
  <c r="D56" i="2"/>
  <c r="C56" i="2"/>
  <c r="B56" i="2"/>
  <c r="D55" i="2"/>
  <c r="C55" i="2"/>
  <c r="B55" i="2"/>
  <c r="D54" i="2"/>
  <c r="C54" i="2"/>
  <c r="B54" i="2"/>
  <c r="D48" i="2"/>
  <c r="C48" i="2"/>
  <c r="B48" i="2"/>
  <c r="D47" i="2"/>
  <c r="C47" i="2"/>
  <c r="B47" i="2"/>
  <c r="D46" i="2"/>
  <c r="C46" i="2"/>
  <c r="B46" i="2"/>
  <c r="D40" i="2"/>
  <c r="C40" i="2"/>
  <c r="B40" i="2"/>
  <c r="D39" i="2"/>
  <c r="C39" i="2"/>
  <c r="B39" i="2"/>
  <c r="D38" i="2"/>
  <c r="C38" i="2"/>
  <c r="B38" i="2"/>
  <c r="D61" i="2"/>
  <c r="C61" i="2"/>
  <c r="B61" i="2"/>
  <c r="D53" i="2"/>
  <c r="C53" i="2"/>
  <c r="B53" i="2"/>
  <c r="D45" i="2"/>
  <c r="C45" i="2"/>
  <c r="B45" i="2"/>
  <c r="D37" i="2"/>
  <c r="C37" i="2"/>
  <c r="B37" i="2"/>
  <c r="D32" i="2"/>
  <c r="C32" i="2"/>
  <c r="B32" i="2"/>
  <c r="D31" i="2"/>
  <c r="C31" i="2"/>
  <c r="B31" i="2"/>
  <c r="D30" i="2"/>
  <c r="C30" i="2"/>
  <c r="B30" i="2"/>
  <c r="D24" i="2"/>
  <c r="C24" i="2"/>
  <c r="B24" i="2"/>
  <c r="D23" i="2"/>
  <c r="C23" i="2"/>
  <c r="B23" i="2"/>
  <c r="D22" i="2"/>
  <c r="C22" i="2"/>
  <c r="B22" i="2"/>
  <c r="D16" i="2"/>
  <c r="C16" i="2"/>
  <c r="B16" i="2"/>
  <c r="D15" i="2"/>
  <c r="C15" i="2"/>
  <c r="B15" i="2"/>
  <c r="D14" i="2"/>
  <c r="C14" i="2"/>
  <c r="B14" i="2"/>
  <c r="D29" i="2"/>
  <c r="C29" i="2"/>
  <c r="B29" i="2"/>
  <c r="D21" i="2"/>
  <c r="C21" i="2"/>
  <c r="B21" i="2"/>
  <c r="D13" i="2"/>
  <c r="C13" i="2"/>
  <c r="B13" i="2"/>
  <c r="D8" i="2"/>
  <c r="C8" i="2"/>
  <c r="B8" i="2"/>
  <c r="D7" i="2"/>
  <c r="C7" i="2"/>
  <c r="B7" i="2"/>
  <c r="D6" i="2"/>
  <c r="C6" i="2"/>
  <c r="B6" i="2"/>
  <c r="D5" i="2"/>
  <c r="C5" i="2"/>
  <c r="B5" i="2"/>
</calcChain>
</file>

<file path=xl/sharedStrings.xml><?xml version="1.0" encoding="utf-8"?>
<sst xmlns="http://schemas.openxmlformats.org/spreadsheetml/2006/main" count="114" uniqueCount="34">
  <si>
    <t>question_type</t>
  </si>
  <si>
    <t>rag</t>
  </si>
  <si>
    <t>context_precision</t>
  </si>
  <si>
    <t>context_recall</t>
  </si>
  <si>
    <t>helpfulness</t>
  </si>
  <si>
    <t>answer_accuracy</t>
  </si>
  <si>
    <t>factual_correctness</t>
  </si>
  <si>
    <t>rouge_score(mode=precision)</t>
  </si>
  <si>
    <t>rouge_score(mode=recall)</t>
  </si>
  <si>
    <t>context_length</t>
  </si>
  <si>
    <t>llm_calls</t>
  </si>
  <si>
    <t>total_cost</t>
  </si>
  <si>
    <t>total_tokens</t>
  </si>
  <si>
    <t>routing_cost</t>
  </si>
  <si>
    <t>routing_tokens</t>
  </si>
  <si>
    <t>generation_cost</t>
  </si>
  <si>
    <t>generation_tokens</t>
  </si>
  <si>
    <t>straightforward</t>
  </si>
  <si>
    <t>LLM Retriever</t>
  </si>
  <si>
    <t>Naive RAG</t>
  </si>
  <si>
    <t>RAPTOR</t>
  </si>
  <si>
    <t>multi_hop</t>
  </si>
  <si>
    <t>intent_driven</t>
  </si>
  <si>
    <t>debugging</t>
  </si>
  <si>
    <t>RAG Comparison by Question Type</t>
  </si>
  <si>
    <t>Context Precision</t>
  </si>
  <si>
    <t>Question Type</t>
  </si>
  <si>
    <t>Context Recall</t>
  </si>
  <si>
    <t>Answer Accuracy</t>
  </si>
  <si>
    <t>Helpfulness</t>
  </si>
  <si>
    <t>Factual Correctness</t>
  </si>
  <si>
    <t>Total Cost</t>
  </si>
  <si>
    <t>Generation Cost</t>
  </si>
  <si>
    <t>Total Tokens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</si>
</sst>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$$-409]0.00000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2" fillId="0" borderId="0" xfId="0" applyFont="1"/>
    <xf numFmtId="0" fontId="1" fillId="0" borderId="0" xfId="0" applyFont="1"/>
    <xf numFmtId="0" fontId="3" fillId="0" borderId="0" xfId="0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Context Precision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Sheet1!$B$5:$B$8</c:f>
              <c:numCache>
                <c:formatCode>0.0%</c:formatCode>
                <c:ptCount val="4"/>
                <c:pt idx="0">
                  <c:v>0.91610000000000003</c:v>
                </c:pt>
                <c:pt idx="1">
                  <c:v>0.84419999999999995</c:v>
                </c:pt>
                <c:pt idx="2">
                  <c:v>0.88839999999999997</c:v>
                </c:pt>
                <c:pt idx="3">
                  <c:v>0.92610000000000003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5-D746-86AD-4FA2834173A6}"/>
            </c:ext>
          </c:extLst>
        </c:ser>
        <c:ser>
          <c:idx val="1"/>
          <c:order val="1"/>
          <c:tx>
            <c:strRef>
              <c:f>Sheet1!$C$4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Sheet1!$C$5:$C$8</c:f>
              <c:numCache>
                <c:formatCode>0.0%</c:formatCode>
                <c:ptCount val="4"/>
                <c:pt idx="0">
                  <c:v>0.74719999999999998</c:v>
                </c:pt>
                <c:pt idx="1">
                  <c:v>0.64539999999999997</c:v>
                </c:pt>
                <c:pt idx="2">
                  <c:v>0.44779999999999998</c:v>
                </c:pt>
                <c:pt idx="3">
                  <c:v>0.76180000000000003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5-D746-86AD-4FA2834173A6}"/>
            </c:ext>
          </c:extLst>
        </c:ser>
        <c:ser>
          <c:idx val="2"/>
          <c:order val="2"/>
          <c:tx>
            <c:strRef>
              <c:f>Sheet1!$D$4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Sheet1!$D$5:$D$8</c:f>
              <c:numCache>
                <c:formatCode>0.0%</c:formatCode>
                <c:ptCount val="4"/>
                <c:pt idx="0">
                  <c:v>0.74970000000000003</c:v>
                </c:pt>
                <c:pt idx="1">
                  <c:v>0.67290000000000005</c:v>
                </c:pt>
                <c:pt idx="2">
                  <c:v>0.53449999999999998</c:v>
                </c:pt>
                <c:pt idx="3">
                  <c:v>0.72760000000000002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5-D746-86AD-4FA283417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2419104"/>
        <c:axId val="1927448016"/>
      </c:barChart>
      <c:catAx>
        <c:axId val="196241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27448016"/>
        <c:crosses val="autoZero"/>
        <c:auto val="1"/>
        <c:lblAlgn val="ctr"/>
        <c:lblOffset val="100"/>
        <c:noMultiLvlLbl val="0"/>
      </c:catAx>
      <c:valAx>
        <c:axId val="192744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6241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Context Recall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Sheet1!$B$12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Sheet1!$A$13:$A$16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Sheet1!$B$13:$B$16</c:f>
              <c:numCache>
                <c:formatCode>0.0%</c:formatCode>
                <c:ptCount val="4"/>
                <c:pt idx="0">
                  <c:v>0.98670000000000002</c:v>
                </c:pt>
                <c:pt idx="1">
                  <c:v>0.9163</c:v>
                </c:pt>
                <c:pt idx="2">
                  <c:v>0.9667</c:v>
                </c:pt>
                <c:pt idx="3">
                  <c:v>0.9667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F5-9749-ADEB-FE0F7F9CD1B1}"/>
            </c:ext>
          </c:extLst>
        </c:ser>
        <c:ser>
          <c:idx val="1"/>
          <c:order val="1"/>
          <c:tx>
            <c:strRef>
              <c:f>Sheet1!$C$12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Sheet1!$A$13:$A$16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Sheet1!$C$13:$C$16</c:f>
              <c:numCache>
                <c:formatCode>0.0%</c:formatCode>
                <c:ptCount val="4"/>
                <c:pt idx="0">
                  <c:v>0.9133</c:v>
                </c:pt>
                <c:pt idx="1">
                  <c:v>0.90869999999999995</c:v>
                </c:pt>
                <c:pt idx="2">
                  <c:v>0.66</c:v>
                </c:pt>
                <c:pt idx="3">
                  <c:v>0.95330000000000004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F5-9749-ADEB-FE0F7F9CD1B1}"/>
            </c:ext>
          </c:extLst>
        </c:ser>
        <c:ser>
          <c:idx val="2"/>
          <c:order val="2"/>
          <c:tx>
            <c:strRef>
              <c:f>Sheet1!$D$12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Sheet1!$A$13:$A$16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Sheet1!$D$13:$D$16</c:f>
              <c:numCache>
                <c:formatCode>0.0%</c:formatCode>
                <c:ptCount val="4"/>
                <c:pt idx="0">
                  <c:v>0.92669999999999997</c:v>
                </c:pt>
                <c:pt idx="1">
                  <c:v>0.91259999999999997</c:v>
                </c:pt>
                <c:pt idx="2">
                  <c:v>0.76670000000000005</c:v>
                </c:pt>
                <c:pt idx="3">
                  <c:v>0.92669999999999997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F5-9749-ADEB-FE0F7F9CD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8050736"/>
        <c:axId val="1958054880"/>
      </c:barChart>
      <c:catAx>
        <c:axId val="195805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58054880"/>
        <c:crosses val="autoZero"/>
        <c:auto val="1"/>
        <c:lblAlgn val="ctr"/>
        <c:lblOffset val="100"/>
        <c:noMultiLvlLbl val="0"/>
      </c:catAx>
      <c:valAx>
        <c:axId val="19580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5805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Answer 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Sheet1!$B$20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Sheet1!$A$21:$A$24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Sheet1!$B$21:$B$24</c:f>
              <c:numCache>
                <c:formatCode>0.0%</c:formatCode>
                <c:ptCount val="4"/>
                <c:pt idx="0">
                  <c:v>0.9</c:v>
                </c:pt>
                <c:pt idx="1">
                  <c:v>0.93</c:v>
                </c:pt>
                <c:pt idx="2">
                  <c:v>0.94</c:v>
                </c:pt>
                <c:pt idx="3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31-294E-8A31-8AB047780C68}"/>
            </c:ext>
          </c:extLst>
        </c:ser>
        <c:ser>
          <c:idx val="1"/>
          <c:order val="1"/>
          <c:tx>
            <c:strRef>
              <c:f>Sheet1!$C$20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Sheet1!$A$21:$A$24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Sheet1!$C$21:$C$24</c:f>
              <c:numCache>
                <c:formatCode>0.0%</c:formatCode>
                <c:ptCount val="4"/>
                <c:pt idx="0">
                  <c:v>0.86</c:v>
                </c:pt>
                <c:pt idx="1">
                  <c:v>0.93</c:v>
                </c:pt>
                <c:pt idx="2">
                  <c:v>0.77</c:v>
                </c:pt>
                <c:pt idx="3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31-294E-8A31-8AB047780C68}"/>
            </c:ext>
          </c:extLst>
        </c:ser>
        <c:ser>
          <c:idx val="2"/>
          <c:order val="2"/>
          <c:tx>
            <c:strRef>
              <c:f>Sheet1!$D$20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Sheet1!$A$21:$A$24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Sheet1!$D$21:$D$24</c:f>
              <c:numCache>
                <c:formatCode>0.0%</c:formatCode>
                <c:ptCount val="4"/>
                <c:pt idx="0">
                  <c:v>0.89</c:v>
                </c:pt>
                <c:pt idx="1">
                  <c:v>0.96</c:v>
                </c:pt>
                <c:pt idx="2">
                  <c:v>0.83</c:v>
                </c:pt>
                <c:pt idx="3">
                  <c:v>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31-294E-8A31-8AB047780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8548208"/>
        <c:axId val="368549920"/>
      </c:barChart>
      <c:catAx>
        <c:axId val="36854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549920"/>
        <c:crosses val="autoZero"/>
        <c:auto val="1"/>
        <c:lblAlgn val="ctr"/>
        <c:lblOffset val="100"/>
        <c:noMultiLvlLbl val="0"/>
      </c:catAx>
      <c:valAx>
        <c:axId val="36854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54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Helpfulness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Sheet1!$B$28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Sheet1!$A$29:$A$32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Sheet1!$B$29:$B$32</c:f>
              <c:numCache>
                <c:formatCode>0.00</c:formatCode>
                <c:ptCount val="4"/>
                <c:pt idx="0">
                  <c:v>5</c:v>
                </c:pt>
                <c:pt idx="1">
                  <c:v>5</c:v>
                </c:pt>
                <c:pt idx="2">
                  <c:v>4.96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FE-2540-8D0C-9786ED737474}"/>
            </c:ext>
          </c:extLst>
        </c:ser>
        <c:ser>
          <c:idx val="1"/>
          <c:order val="1"/>
          <c:tx>
            <c:strRef>
              <c:f>Sheet1!$C$28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Sheet1!$A$29:$A$32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Sheet1!$C$29:$C$32</c:f>
              <c:numCache>
                <c:formatCode>0.00</c:formatCode>
                <c:ptCount val="4"/>
                <c:pt idx="0">
                  <c:v>4.8</c:v>
                </c:pt>
                <c:pt idx="1">
                  <c:v>4.8</c:v>
                </c:pt>
                <c:pt idx="2">
                  <c:v>4.6399999999999997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FE-2540-8D0C-9786ED737474}"/>
            </c:ext>
          </c:extLst>
        </c:ser>
        <c:ser>
          <c:idx val="2"/>
          <c:order val="2"/>
          <c:tx>
            <c:strRef>
              <c:f>Sheet1!$D$28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Sheet1!$A$29:$A$32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Sheet1!$D$29:$D$32</c:f>
              <c:numCache>
                <c:formatCode>0.00</c:formatCode>
                <c:ptCount val="4"/>
                <c:pt idx="0">
                  <c:v>4.84</c:v>
                </c:pt>
                <c:pt idx="1">
                  <c:v>5</c:v>
                </c:pt>
                <c:pt idx="2">
                  <c:v>4.72</c:v>
                </c:pt>
                <c:pt idx="3">
                  <c:v>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FE-2540-8D0C-9786ED737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8343360"/>
        <c:axId val="368345072"/>
      </c:barChart>
      <c:catAx>
        <c:axId val="36834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345072"/>
        <c:crosses val="autoZero"/>
        <c:auto val="1"/>
        <c:lblAlgn val="ctr"/>
        <c:lblOffset val="100"/>
        <c:noMultiLvlLbl val="0"/>
      </c:catAx>
      <c:valAx>
        <c:axId val="36834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34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Factual Correctness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Sheet1!$B$36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Sheet1!$A$37:$A$40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Sheet1!$B$37:$B$40</c:f>
              <c:numCache>
                <c:formatCode>0.0%</c:formatCode>
                <c:ptCount val="4"/>
                <c:pt idx="0">
                  <c:v>0.48159999999999997</c:v>
                </c:pt>
                <c:pt idx="1">
                  <c:v>0.48359999999999997</c:v>
                </c:pt>
                <c:pt idx="2">
                  <c:v>0.4108</c:v>
                </c:pt>
                <c:pt idx="3">
                  <c:v>0.59160000000000001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D3-C744-80D7-EE21A5763E97}"/>
            </c:ext>
          </c:extLst>
        </c:ser>
        <c:ser>
          <c:idx val="1"/>
          <c:order val="1"/>
          <c:tx>
            <c:strRef>
              <c:f>Sheet1!$C$36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Sheet1!$A$37:$A$40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Sheet1!$C$37:$C$40</c:f>
              <c:numCache>
                <c:formatCode>0.0%</c:formatCode>
                <c:ptCount val="4"/>
                <c:pt idx="0">
                  <c:v>0.45760000000000001</c:v>
                </c:pt>
                <c:pt idx="1">
                  <c:v>0.48799999999999999</c:v>
                </c:pt>
                <c:pt idx="2">
                  <c:v>0.38319999999999999</c:v>
                </c:pt>
                <c:pt idx="3">
                  <c:v>0.59040000000000004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D3-C744-80D7-EE21A5763E97}"/>
            </c:ext>
          </c:extLst>
        </c:ser>
        <c:ser>
          <c:idx val="2"/>
          <c:order val="2"/>
          <c:tx>
            <c:strRef>
              <c:f>Sheet1!$D$36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Sheet1!$A$37:$A$40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Sheet1!$D$37:$D$40</c:f>
              <c:numCache>
                <c:formatCode>0.0%</c:formatCode>
                <c:ptCount val="4"/>
                <c:pt idx="0">
                  <c:v>0.48080000000000001</c:v>
                </c:pt>
                <c:pt idx="1">
                  <c:v>0.50439999999999996</c:v>
                </c:pt>
                <c:pt idx="2">
                  <c:v>0.4052</c:v>
                </c:pt>
                <c:pt idx="3">
                  <c:v>0.61439999999999995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D3-C744-80D7-EE21A5763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8198880"/>
        <c:axId val="368200592"/>
      </c:barChart>
      <c:catAx>
        <c:axId val="36819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200592"/>
        <c:crosses val="autoZero"/>
        <c:auto val="1"/>
        <c:lblAlgn val="ctr"/>
        <c:lblOffset val="100"/>
        <c:noMultiLvlLbl val="0"/>
      </c:catAx>
      <c:valAx>
        <c:axId val="36820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19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Sheet1!$B$44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Sheet1!$A$45:$A$48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Sheet1!$B$45:$B$48</c:f>
              <c:numCache>
                <c:formatCode>[$$-409]0.000000</c:formatCode>
                <c:ptCount val="4"/>
                <c:pt idx="0">
                  <c:v>5.8500000000000002E-4</c:v>
                </c:pt>
                <c:pt idx="1">
                  <c:v>9.68E-4</c:v>
                </c:pt>
                <c:pt idx="2">
                  <c:v>1.024E-3</c:v>
                </c:pt>
                <c:pt idx="3">
                  <c:v>9.01E-4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D9-374D-823E-F6B9E80F25BC}"/>
            </c:ext>
          </c:extLst>
        </c:ser>
        <c:ser>
          <c:idx val="1"/>
          <c:order val="1"/>
          <c:tx>
            <c:strRef>
              <c:f>Sheet1!$C$44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Sheet1!$A$45:$A$48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Sheet1!$C$45:$C$48</c:f>
              <c:numCache>
                <c:formatCode>[$$-409]0.000000</c:formatCode>
                <c:ptCount val="4"/>
                <c:pt idx="0">
                  <c:v>7.27E-4</c:v>
                </c:pt>
                <c:pt idx="1">
                  <c:v>8.34E-4</c:v>
                </c:pt>
                <c:pt idx="2">
                  <c:v>8.61E-4</c:v>
                </c:pt>
                <c:pt idx="3">
                  <c:v>8.4500000000000005E-4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D9-374D-823E-F6B9E80F25BC}"/>
            </c:ext>
          </c:extLst>
        </c:ser>
        <c:ser>
          <c:idx val="2"/>
          <c:order val="2"/>
          <c:tx>
            <c:strRef>
              <c:f>Sheet1!$D$44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Sheet1!$A$45:$A$48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Sheet1!$D$45:$D$48</c:f>
              <c:numCache>
                <c:formatCode>[$$-409]0.000000</c:formatCode>
                <c:ptCount val="4"/>
                <c:pt idx="0">
                  <c:v>7.67E-4</c:v>
                </c:pt>
                <c:pt idx="1">
                  <c:v>8.9599999999999999E-4</c:v>
                </c:pt>
                <c:pt idx="2">
                  <c:v>9.19E-4</c:v>
                </c:pt>
                <c:pt idx="3">
                  <c:v>8.6899999999999998E-4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D9-374D-823E-F6B9E80F2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4371744"/>
        <c:axId val="384373456"/>
      </c:barChart>
      <c:catAx>
        <c:axId val="38437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373456"/>
        <c:crosses val="autoZero"/>
        <c:auto val="1"/>
        <c:lblAlgn val="ctr"/>
        <c:lblOffset val="100"/>
        <c:noMultiLvlLbl val="0"/>
      </c:catAx>
      <c:valAx>
        <c:axId val="38437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37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Generation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Sheet1!$B$52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Sheet1!$A$53:$A$56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Sheet1!$B$53:$B$56</c:f>
              <c:numCache>
                <c:formatCode>[$$-409]0.000000</c:formatCode>
                <c:ptCount val="4"/>
                <c:pt idx="0">
                  <c:v>5.8500000000000002E-4</c:v>
                </c:pt>
                <c:pt idx="1">
                  <c:v>9.68E-4</c:v>
                </c:pt>
                <c:pt idx="2">
                  <c:v>1.024E-3</c:v>
                </c:pt>
                <c:pt idx="3">
                  <c:v>9.01E-4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F4-6F43-A9B6-4799131B3AB7}"/>
            </c:ext>
          </c:extLst>
        </c:ser>
        <c:ser>
          <c:idx val="1"/>
          <c:order val="1"/>
          <c:tx>
            <c:strRef>
              <c:f>Sheet1!$C$52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Sheet1!$A$53:$A$56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Sheet1!$C$53:$C$56</c:f>
              <c:numCache>
                <c:formatCode>[$$-409]0.000000</c:formatCode>
                <c:ptCount val="4"/>
                <c:pt idx="0">
                  <c:v>7.27E-4</c:v>
                </c:pt>
                <c:pt idx="1">
                  <c:v>8.34E-4</c:v>
                </c:pt>
                <c:pt idx="2">
                  <c:v>8.61E-4</c:v>
                </c:pt>
                <c:pt idx="3">
                  <c:v>8.4500000000000005E-4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F4-6F43-A9B6-4799131B3AB7}"/>
            </c:ext>
          </c:extLst>
        </c:ser>
        <c:ser>
          <c:idx val="2"/>
          <c:order val="2"/>
          <c:tx>
            <c:strRef>
              <c:f>Sheet1!$D$52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Sheet1!$A$53:$A$56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Sheet1!$D$53:$D$56</c:f>
              <c:numCache>
                <c:formatCode>[$$-409]0.000000</c:formatCode>
                <c:ptCount val="4"/>
                <c:pt idx="0">
                  <c:v>7.67E-4</c:v>
                </c:pt>
                <c:pt idx="1">
                  <c:v>8.9599999999999999E-4</c:v>
                </c:pt>
                <c:pt idx="2">
                  <c:v>9.19E-4</c:v>
                </c:pt>
                <c:pt idx="3">
                  <c:v>8.6899999999999998E-4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F4-6F43-A9B6-4799131B3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4422560"/>
        <c:axId val="384424272"/>
      </c:barChart>
      <c:catAx>
        <c:axId val="38442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424272"/>
        <c:crosses val="autoZero"/>
        <c:auto val="1"/>
        <c:lblAlgn val="ctr"/>
        <c:lblOffset val="100"/>
        <c:noMultiLvlLbl val="0"/>
      </c:catAx>
      <c:valAx>
        <c:axId val="38442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42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Tokens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Sheet1!$B$60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Sheet1!$A$61:$A$64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Sheet1!$B$61:$B$64</c:f>
              <c:numCache>
                <c:formatCode>#,##0</c:formatCode>
                <c:ptCount val="4"/>
                <c:pt idx="0">
                  <c:v>23163.68</c:v>
                </c:pt>
                <c:pt idx="1">
                  <c:v>27078.880000000001</c:v>
                </c:pt>
                <c:pt idx="2">
                  <c:v>26697.84</c:v>
                </c:pt>
                <c:pt idx="3">
                  <c:v>29899.4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B0-1943-BE1C-2C843B803F5A}"/>
            </c:ext>
          </c:extLst>
        </c:ser>
        <c:ser>
          <c:idx val="1"/>
          <c:order val="1"/>
          <c:tx>
            <c:strRef>
              <c:f>Sheet1!$C$60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Sheet1!$A$61:$A$64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Sheet1!$C$61:$C$64</c:f>
              <c:numCache>
                <c:formatCode>#,##0</c:formatCode>
                <c:ptCount val="4"/>
                <c:pt idx="0">
                  <c:v>2154</c:v>
                </c:pt>
                <c:pt idx="1">
                  <c:v>2297.6</c:v>
                </c:pt>
                <c:pt idx="2">
                  <c:v>2302.16</c:v>
                </c:pt>
                <c:pt idx="3">
                  <c:v>2444.88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B0-1943-BE1C-2C843B803F5A}"/>
            </c:ext>
          </c:extLst>
        </c:ser>
        <c:ser>
          <c:idx val="2"/>
          <c:order val="2"/>
          <c:tx>
            <c:strRef>
              <c:f>Sheet1!$D$60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Sheet1!$A$61:$A$64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Sheet1!$D$61:$D$64</c:f>
              <c:numCache>
                <c:formatCode>#,##0</c:formatCode>
                <c:ptCount val="4"/>
                <c:pt idx="0">
                  <c:v>2287.6799999999998</c:v>
                </c:pt>
                <c:pt idx="1">
                  <c:v>2416.88</c:v>
                </c:pt>
                <c:pt idx="2">
                  <c:v>2438.08</c:v>
                </c:pt>
                <c:pt idx="3">
                  <c:v>2483.96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B0-1943-BE1C-2C843B803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4510640"/>
        <c:axId val="384512352"/>
      </c:barChart>
      <c:catAx>
        <c:axId val="38451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512352"/>
        <c:crosses val="autoZero"/>
        <c:auto val="1"/>
        <c:lblAlgn val="ctr"/>
        <c:lblOffset val="100"/>
        <c:noMultiLvlLbl val="0"/>
      </c:catAx>
      <c:valAx>
        <c:axId val="38451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51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317500</xdr:colOff>
      <xdr:row>2</xdr:row>
      <xdr:rowOff>76200</xdr:rowOff>
    </xdr:from>
    <xdr:to>
      <xdr:col>11</xdr:col>
      <xdr:colOff>190500</xdr:colOff>
      <xdr:row>16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71FDAF-3271-3134-9909-DD508D313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317500</xdr:colOff>
      <xdr:row>17</xdr:row>
      <xdr:rowOff>114300</xdr:rowOff>
    </xdr:from>
    <xdr:to>
      <xdr:col>11</xdr:col>
      <xdr:colOff>190500</xdr:colOff>
      <xdr:row>32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B4679F-8D71-0C6A-B4A3-B7585BA86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317500</xdr:colOff>
      <xdr:row>32</xdr:row>
      <xdr:rowOff>152400</xdr:rowOff>
    </xdr:from>
    <xdr:to>
      <xdr:col>11</xdr:col>
      <xdr:colOff>190500</xdr:colOff>
      <xdr:row>47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9BBCC3-A394-BCD3-8B1D-2885288C5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317500</xdr:colOff>
      <xdr:row>48</xdr:row>
      <xdr:rowOff>0</xdr:rowOff>
    </xdr:from>
    <xdr:to>
      <xdr:col>11</xdr:col>
      <xdr:colOff>190500</xdr:colOff>
      <xdr:row>62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22F35D-077C-B2D6-EBB4-D7C537A6C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317500</xdr:colOff>
      <xdr:row>63</xdr:row>
      <xdr:rowOff>38100</xdr:rowOff>
    </xdr:from>
    <xdr:to>
      <xdr:col>11</xdr:col>
      <xdr:colOff>190500</xdr:colOff>
      <xdr:row>77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DDC14A-3E84-5EC3-CC62-2B7997C319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317500</xdr:colOff>
      <xdr:row>78</xdr:row>
      <xdr:rowOff>101600</xdr:rowOff>
    </xdr:from>
    <xdr:to>
      <xdr:col>11</xdr:col>
      <xdr:colOff>190500</xdr:colOff>
      <xdr:row>93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600C85F-BE6C-8BE7-3573-D22D3F572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317500</xdr:colOff>
      <xdr:row>93</xdr:row>
      <xdr:rowOff>165100</xdr:rowOff>
    </xdr:from>
    <xdr:to>
      <xdr:col>11</xdr:col>
      <xdr:colOff>190500</xdr:colOff>
      <xdr:row>108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C6EFB05-0C5E-967B-8BBF-E19CDDE9B4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317500</xdr:colOff>
      <xdr:row>109</xdr:row>
      <xdr:rowOff>38100</xdr:rowOff>
    </xdr:from>
    <xdr:to>
      <xdr:col>11</xdr:col>
      <xdr:colOff>190500</xdr:colOff>
      <xdr:row>123</xdr:row>
      <xdr:rowOff>165100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D246F2B-5B55-F05F-2F4E-CD5677921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23D7ACB-600B-A544-A889-94159A807581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37c359d2-7ebd-4bb2-aaf3-cad5d7d6fab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workbookViewId="0">
      <selection activeCell="E8" sqref="E8"/>
    </sheetView>
  </sheetViews>
  <sheetFormatPr baseColWidth="10" defaultColWidth="8.83203125" defaultRowHeight="15" x14ac:dyDescent="0.2"/>
  <cols>
    <col min="1" max="1" width="13" bestFit="1" customWidth="1"/>
    <col min="2" max="2" width="11.5" bestFit="1" customWidth="1"/>
    <col min="3" max="3" width="14.83203125" bestFit="1" customWidth="1"/>
    <col min="4" max="4" width="12" bestFit="1" customWidth="1"/>
    <col min="5" max="5" width="9.6640625" bestFit="1" customWidth="1"/>
    <col min="6" max="6" width="14" bestFit="1" customWidth="1"/>
    <col min="7" max="7" width="15.83203125" bestFit="1" customWidth="1"/>
    <col min="8" max="8" width="23.83203125" bestFit="1" customWidth="1"/>
    <col min="9" max="9" width="20.83203125" bestFit="1" customWidth="1"/>
    <col min="10" max="10" width="12.6640625" bestFit="1" customWidth="1"/>
    <col min="11" max="11" width="7.83203125" bestFit="1" customWidth="1"/>
    <col min="12" max="12" width="9.1640625" bestFit="1" customWidth="1"/>
    <col min="13" max="13" width="10.6640625" bestFit="1" customWidth="1"/>
    <col min="14" max="14" width="10.83203125" bestFit="1" customWidth="1"/>
    <col min="15" max="15" width="12.6640625" bestFit="1" customWidth="1"/>
    <col min="16" max="16" width="13.33203125" bestFit="1" customWidth="1"/>
    <col min="17" max="17" width="15.1640625" bestFit="1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 t="s">
        <v>17</v>
      </c>
      <c r="B2" t="s">
        <v>18</v>
      </c>
      <c r="C2" s="1">
        <v>0.91610000000000003</v>
      </c>
      <c r="D2" s="1">
        <v>0.98670000000000002</v>
      </c>
      <c r="E2" s="1">
        <v>5</v>
      </c>
      <c r="F2" s="1">
        <v>0.9</v>
      </c>
      <c r="G2" s="1">
        <v>0.48159999999999997</v>
      </c>
      <c r="H2">
        <v>0.15540000000000001</v>
      </c>
      <c r="I2">
        <v>0.53380000000000005</v>
      </c>
      <c r="J2" s="1">
        <v>3230.84</v>
      </c>
      <c r="K2">
        <v>5.16</v>
      </c>
      <c r="L2">
        <v>5.8500000000000002E-4</v>
      </c>
      <c r="M2">
        <v>23163.68</v>
      </c>
      <c r="N2">
        <v>0</v>
      </c>
      <c r="O2">
        <v>21594.2</v>
      </c>
      <c r="P2" s="1">
        <v>5.8500000000000002E-4</v>
      </c>
      <c r="Q2" s="1">
        <v>1569.48</v>
      </c>
    </row>
    <row r="3" spans="1:17" x14ac:dyDescent="0.2">
      <c r="A3" t="s">
        <v>17</v>
      </c>
      <c r="B3" t="s">
        <v>19</v>
      </c>
      <c r="C3">
        <v>0.74719999999999998</v>
      </c>
      <c r="D3">
        <v>0.9133</v>
      </c>
      <c r="E3">
        <v>4.8</v>
      </c>
      <c r="F3">
        <v>0.86</v>
      </c>
      <c r="G3">
        <v>0.45760000000000001</v>
      </c>
      <c r="H3">
        <v>0.15740000000000001</v>
      </c>
      <c r="I3">
        <v>0.51219999999999999</v>
      </c>
      <c r="J3">
        <v>5970.44</v>
      </c>
      <c r="K3">
        <v>1</v>
      </c>
      <c r="L3">
        <v>7.27E-4</v>
      </c>
      <c r="M3" s="1">
        <v>2154</v>
      </c>
      <c r="P3">
        <v>7.27E-4</v>
      </c>
      <c r="Q3">
        <v>2154</v>
      </c>
    </row>
    <row r="4" spans="1:17" x14ac:dyDescent="0.2">
      <c r="A4" t="s">
        <v>17</v>
      </c>
      <c r="B4" t="s">
        <v>20</v>
      </c>
      <c r="C4">
        <v>0.74970000000000003</v>
      </c>
      <c r="D4">
        <v>0.92669999999999997</v>
      </c>
      <c r="E4">
        <v>4.84</v>
      </c>
      <c r="F4">
        <v>0.89</v>
      </c>
      <c r="G4">
        <v>0.48080000000000001</v>
      </c>
      <c r="H4" s="1">
        <v>0.15890000000000001</v>
      </c>
      <c r="I4" s="1">
        <v>0.54290000000000005</v>
      </c>
      <c r="J4">
        <v>6701.64</v>
      </c>
      <c r="K4">
        <v>1</v>
      </c>
      <c r="L4">
        <v>7.67E-4</v>
      </c>
      <c r="M4">
        <v>2287.6799999999998</v>
      </c>
      <c r="P4">
        <v>7.67E-4</v>
      </c>
      <c r="Q4">
        <v>2287.6799999999998</v>
      </c>
    </row>
    <row r="5" spans="1:17" x14ac:dyDescent="0.2">
      <c r="A5" t="s">
        <v>21</v>
      </c>
      <c r="B5" t="s">
        <v>18</v>
      </c>
      <c r="C5" s="1">
        <v>0.84419999999999995</v>
      </c>
      <c r="D5" s="1">
        <v>0.9163</v>
      </c>
      <c r="E5" s="1">
        <v>5</v>
      </c>
      <c r="F5">
        <v>0.93</v>
      </c>
      <c r="G5">
        <v>0.48359999999999997</v>
      </c>
      <c r="H5">
        <v>0.18179999999999999</v>
      </c>
      <c r="I5" s="1">
        <v>0.42259999999999998</v>
      </c>
      <c r="J5">
        <v>6438.92</v>
      </c>
      <c r="K5">
        <v>5.4</v>
      </c>
      <c r="L5">
        <v>9.68E-4</v>
      </c>
      <c r="M5">
        <v>27078.880000000001</v>
      </c>
      <c r="N5">
        <v>0</v>
      </c>
      <c r="O5">
        <v>24509.56</v>
      </c>
      <c r="P5">
        <v>9.68E-4</v>
      </c>
      <c r="Q5">
        <v>2569.3200000000002</v>
      </c>
    </row>
    <row r="6" spans="1:17" x14ac:dyDescent="0.2">
      <c r="A6" t="s">
        <v>21</v>
      </c>
      <c r="B6" t="s">
        <v>19</v>
      </c>
      <c r="C6">
        <v>0.64539999999999997</v>
      </c>
      <c r="D6">
        <v>0.90869999999999995</v>
      </c>
      <c r="E6">
        <v>4.8</v>
      </c>
      <c r="F6">
        <v>0.93</v>
      </c>
      <c r="G6" s="1">
        <v>0.48799999999999999</v>
      </c>
      <c r="H6" s="1">
        <v>0.19739999999999999</v>
      </c>
      <c r="I6">
        <v>0.4007</v>
      </c>
      <c r="J6" s="1">
        <v>6145.4</v>
      </c>
      <c r="K6">
        <v>1</v>
      </c>
      <c r="L6" s="1">
        <v>8.34E-4</v>
      </c>
      <c r="M6" s="1">
        <v>2297.6</v>
      </c>
      <c r="P6" s="1">
        <v>8.34E-4</v>
      </c>
      <c r="Q6" s="1">
        <v>2297.6</v>
      </c>
    </row>
    <row r="7" spans="1:17" x14ac:dyDescent="0.2">
      <c r="A7" t="s">
        <v>21</v>
      </c>
      <c r="B7" t="s">
        <v>20</v>
      </c>
      <c r="C7">
        <v>0.67290000000000005</v>
      </c>
      <c r="D7">
        <v>0.91259999999999997</v>
      </c>
      <c r="E7" s="1">
        <v>5</v>
      </c>
      <c r="F7" s="1">
        <v>0.96</v>
      </c>
      <c r="G7">
        <v>0.50439999999999996</v>
      </c>
      <c r="H7">
        <v>0.18140000000000001</v>
      </c>
      <c r="I7">
        <v>0.4214</v>
      </c>
      <c r="J7">
        <v>6841.12</v>
      </c>
      <c r="K7">
        <v>1</v>
      </c>
      <c r="L7">
        <v>8.9599999999999999E-4</v>
      </c>
      <c r="M7">
        <v>2416.88</v>
      </c>
      <c r="P7">
        <v>8.9599999999999999E-4</v>
      </c>
      <c r="Q7">
        <v>2416.88</v>
      </c>
    </row>
    <row r="8" spans="1:17" x14ac:dyDescent="0.2">
      <c r="A8" t="s">
        <v>22</v>
      </c>
      <c r="B8" t="s">
        <v>18</v>
      </c>
      <c r="C8" s="1">
        <v>0.88839999999999997</v>
      </c>
      <c r="D8" s="1">
        <v>0.9667</v>
      </c>
      <c r="E8" s="1">
        <v>4.96</v>
      </c>
      <c r="F8" s="1">
        <v>0.94</v>
      </c>
      <c r="G8" s="1">
        <v>0.4108</v>
      </c>
      <c r="H8" s="1">
        <v>0.12590000000000001</v>
      </c>
      <c r="I8" s="1">
        <v>0.50360000000000005</v>
      </c>
      <c r="J8">
        <v>6045.24</v>
      </c>
      <c r="K8">
        <v>5.4</v>
      </c>
      <c r="L8">
        <v>1.024E-3</v>
      </c>
      <c r="M8">
        <v>26697.84</v>
      </c>
      <c r="N8">
        <v>0</v>
      </c>
      <c r="O8">
        <v>24152.6</v>
      </c>
      <c r="P8">
        <v>1.024E-3</v>
      </c>
      <c r="Q8">
        <v>2545.2399999999998</v>
      </c>
    </row>
    <row r="9" spans="1:17" x14ac:dyDescent="0.2">
      <c r="A9" t="s">
        <v>22</v>
      </c>
      <c r="B9" t="s">
        <v>19</v>
      </c>
      <c r="C9">
        <v>0.44779999999999998</v>
      </c>
      <c r="D9">
        <v>0.66</v>
      </c>
      <c r="E9">
        <v>4.6399999999999997</v>
      </c>
      <c r="F9">
        <v>0.77</v>
      </c>
      <c r="G9">
        <v>0.38319999999999999</v>
      </c>
      <c r="H9">
        <v>0.1249</v>
      </c>
      <c r="I9">
        <v>0.3987</v>
      </c>
      <c r="J9" s="1">
        <v>6059.8</v>
      </c>
      <c r="K9">
        <v>1</v>
      </c>
      <c r="L9" s="1">
        <v>8.61E-4</v>
      </c>
      <c r="M9" s="1">
        <v>2302.16</v>
      </c>
      <c r="P9" s="1">
        <v>8.61E-4</v>
      </c>
      <c r="Q9" s="1">
        <v>2302.16</v>
      </c>
    </row>
    <row r="10" spans="1:17" x14ac:dyDescent="0.2">
      <c r="A10" t="s">
        <v>22</v>
      </c>
      <c r="B10" t="s">
        <v>20</v>
      </c>
      <c r="C10">
        <v>0.53449999999999998</v>
      </c>
      <c r="D10">
        <v>0.76670000000000005</v>
      </c>
      <c r="E10">
        <v>4.72</v>
      </c>
      <c r="F10">
        <v>0.83</v>
      </c>
      <c r="G10">
        <v>0.4052</v>
      </c>
      <c r="H10">
        <v>0.13159999999999999</v>
      </c>
      <c r="I10">
        <v>0.43990000000000001</v>
      </c>
      <c r="J10">
        <v>6771.88</v>
      </c>
      <c r="K10">
        <v>1</v>
      </c>
      <c r="L10">
        <v>9.19E-4</v>
      </c>
      <c r="M10">
        <v>2438.08</v>
      </c>
      <c r="P10">
        <v>9.19E-4</v>
      </c>
      <c r="Q10">
        <v>2438.08</v>
      </c>
    </row>
    <row r="11" spans="1:17" x14ac:dyDescent="0.2">
      <c r="A11" t="s">
        <v>23</v>
      </c>
      <c r="B11" t="s">
        <v>18</v>
      </c>
      <c r="C11" s="1">
        <v>0.92610000000000003</v>
      </c>
      <c r="D11" s="1">
        <v>0.9667</v>
      </c>
      <c r="E11" s="1">
        <v>5</v>
      </c>
      <c r="F11" s="1">
        <v>0.96</v>
      </c>
      <c r="G11" s="2">
        <v>0.59160000000000001</v>
      </c>
      <c r="H11">
        <v>0.16919999999999999</v>
      </c>
      <c r="I11" s="1">
        <v>0.53039999999999998</v>
      </c>
      <c r="J11" s="1">
        <v>5937.36</v>
      </c>
      <c r="K11">
        <v>5.76</v>
      </c>
      <c r="L11">
        <v>9.01E-4</v>
      </c>
      <c r="M11">
        <v>29899.4</v>
      </c>
      <c r="N11">
        <v>0</v>
      </c>
      <c r="O11">
        <v>27374.080000000002</v>
      </c>
      <c r="P11">
        <v>9.01E-4</v>
      </c>
      <c r="Q11">
        <v>2525.3200000000002</v>
      </c>
    </row>
    <row r="12" spans="1:17" x14ac:dyDescent="0.2">
      <c r="A12" t="s">
        <v>23</v>
      </c>
      <c r="B12" t="s">
        <v>19</v>
      </c>
      <c r="C12">
        <v>0.76180000000000003</v>
      </c>
      <c r="D12">
        <v>0.95330000000000004</v>
      </c>
      <c r="E12" s="1">
        <v>5</v>
      </c>
      <c r="F12" s="1">
        <v>0.96</v>
      </c>
      <c r="G12">
        <v>0.59040000000000004</v>
      </c>
      <c r="H12" s="1">
        <v>0.18770000000000001</v>
      </c>
      <c r="I12">
        <v>0.51170000000000004</v>
      </c>
      <c r="J12">
        <v>6238.68</v>
      </c>
      <c r="K12">
        <v>1</v>
      </c>
      <c r="L12">
        <v>8.4500000000000005E-4</v>
      </c>
      <c r="M12" s="1">
        <v>2444.88</v>
      </c>
      <c r="P12">
        <v>8.4500000000000005E-4</v>
      </c>
      <c r="Q12" s="1">
        <v>2444.88</v>
      </c>
    </row>
    <row r="13" spans="1:17" x14ac:dyDescent="0.2">
      <c r="A13" t="s">
        <v>23</v>
      </c>
      <c r="B13" t="s">
        <v>20</v>
      </c>
      <c r="C13">
        <v>0.72760000000000002</v>
      </c>
      <c r="D13">
        <v>0.92669999999999997</v>
      </c>
      <c r="E13">
        <v>4.96</v>
      </c>
      <c r="F13">
        <v>0.94</v>
      </c>
      <c r="G13" s="1">
        <v>0.61439999999999995</v>
      </c>
      <c r="H13">
        <v>0.16819999999999999</v>
      </c>
      <c r="I13">
        <v>0.50649999999999995</v>
      </c>
      <c r="J13">
        <v>6915.92</v>
      </c>
      <c r="K13">
        <v>1</v>
      </c>
      <c r="L13">
        <v>8.6899999999999998E-4</v>
      </c>
      <c r="M13">
        <v>2483.96</v>
      </c>
      <c r="P13">
        <v>8.6899999999999998E-4</v>
      </c>
      <c r="Q13">
        <v>2483.96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E1B7F-24ED-EF45-A273-50A151CBE886}">
  <dimension ref="A1:D64"/>
  <sheetViews>
    <sheetView tabSelected="1" workbookViewId="0">
      <selection activeCell="M116" sqref="M116"/>
    </sheetView>
  </sheetViews>
  <sheetFormatPr baseColWidth="10" defaultRowHeight="15" x14ac:dyDescent="0.2"/>
  <sheetData>
    <row r="1" spans="1:4" ht="19" x14ac:dyDescent="0.25">
      <c r="A1" s="3" t="s">
        <v>24</v>
      </c>
    </row>
    <row r="3" spans="1:4" ht="16" x14ac:dyDescent="0.2">
      <c r="A3" s="4" t="s">
        <v>25</v>
      </c>
    </row>
    <row r="4" spans="1:4" x14ac:dyDescent="0.2">
      <c r="A4" s="5" t="s">
        <v>26</v>
      </c>
      <c r="B4" s="5" t="s">
        <v>18</v>
      </c>
      <c r="C4" s="5" t="s">
        <v>19</v>
      </c>
      <c r="D4" s="5" t="s">
        <v>20</v>
      </c>
    </row>
    <row r="5" spans="1:4" x14ac:dyDescent="0.2">
      <c r="A5" t="s">
        <v>17</v>
      </c>
      <c r="B5" s="6">
        <f>SUMIFS('RAG Comparison'!$C:$C,'RAG Comparison'!$A:$A,$A5,'RAG Comparison'!$B:$B,B$4)</f>
        <v>0.91610000000000003</v>
      </c>
      <c r="C5" s="6">
        <f>SUMIFS('RAG Comparison'!$C:$C,'RAG Comparison'!$A:$A,$A5,'RAG Comparison'!$B:$B,C$4)</f>
        <v>0.74719999999999998</v>
      </c>
      <c r="D5" s="6">
        <f>SUMIFS('RAG Comparison'!$C:$C,'RAG Comparison'!$A:$A,$A5,'RAG Comparison'!$B:$B,D$4)</f>
        <v>0.74970000000000003</v>
      </c>
    </row>
    <row r="6" spans="1:4" x14ac:dyDescent="0.2">
      <c r="A6" t="s">
        <v>21</v>
      </c>
      <c r="B6" s="6">
        <f>SUMIFS('RAG Comparison'!$C:$C,'RAG Comparison'!$A:$A,$A6,'RAG Comparison'!$B:$B,B$4)</f>
        <v>0.84419999999999995</v>
      </c>
      <c r="C6" s="6">
        <f>SUMIFS('RAG Comparison'!$C:$C,'RAG Comparison'!$A:$A,$A6,'RAG Comparison'!$B:$B,C$4)</f>
        <v>0.64539999999999997</v>
      </c>
      <c r="D6" s="6">
        <f>SUMIFS('RAG Comparison'!$C:$C,'RAG Comparison'!$A:$A,$A6,'RAG Comparison'!$B:$B,D$4)</f>
        <v>0.67290000000000005</v>
      </c>
    </row>
    <row r="7" spans="1:4" x14ac:dyDescent="0.2">
      <c r="A7" t="s">
        <v>22</v>
      </c>
      <c r="B7" s="6">
        <f>SUMIFS('RAG Comparison'!$C:$C,'RAG Comparison'!$A:$A,$A7,'RAG Comparison'!$B:$B,B$4)</f>
        <v>0.88839999999999997</v>
      </c>
      <c r="C7" s="6">
        <f>SUMIFS('RAG Comparison'!$C:$C,'RAG Comparison'!$A:$A,$A7,'RAG Comparison'!$B:$B,C$4)</f>
        <v>0.44779999999999998</v>
      </c>
      <c r="D7" s="6">
        <f>SUMIFS('RAG Comparison'!$C:$C,'RAG Comparison'!$A:$A,$A7,'RAG Comparison'!$B:$B,D$4)</f>
        <v>0.53449999999999998</v>
      </c>
    </row>
    <row r="8" spans="1:4" x14ac:dyDescent="0.2">
      <c r="A8" t="s">
        <v>23</v>
      </c>
      <c r="B8" s="6">
        <f>SUMIFS('RAG Comparison'!$C:$C,'RAG Comparison'!$A:$A,$A8,'RAG Comparison'!$B:$B,B$4)</f>
        <v>0.92610000000000003</v>
      </c>
      <c r="C8" s="6">
        <f>SUMIFS('RAG Comparison'!$C:$C,'RAG Comparison'!$A:$A,$A8,'RAG Comparison'!$B:$B,C$4)</f>
        <v>0.76180000000000003</v>
      </c>
      <c r="D8" s="6">
        <f>SUMIFS('RAG Comparison'!$C:$C,'RAG Comparison'!$A:$A,$A8,'RAG Comparison'!$B:$B,D$4)</f>
        <v>0.72760000000000002</v>
      </c>
    </row>
    <row r="11" spans="1:4" ht="16" x14ac:dyDescent="0.2">
      <c r="A11" s="4" t="s">
        <v>27</v>
      </c>
    </row>
    <row r="12" spans="1:4" x14ac:dyDescent="0.2">
      <c r="A12" s="5" t="s">
        <v>26</v>
      </c>
      <c r="B12" s="5" t="s">
        <v>18</v>
      </c>
      <c r="C12" s="5" t="s">
        <v>19</v>
      </c>
      <c r="D12" s="5" t="s">
        <v>20</v>
      </c>
    </row>
    <row r="13" spans="1:4" x14ac:dyDescent="0.2">
      <c r="A13" t="s">
        <v>17</v>
      </c>
      <c r="B13" s="6">
        <f>SUMIFS('RAG Comparison'!$D:$D,'RAG Comparison'!$A:$A,$A13,'RAG Comparison'!$B:$B,B$12)</f>
        <v>0.98670000000000002</v>
      </c>
      <c r="C13" s="6">
        <f>SUMIFS('RAG Comparison'!$D:$D,'RAG Comparison'!$A:$A,$A13,'RAG Comparison'!$B:$B,C$12)</f>
        <v>0.9133</v>
      </c>
      <c r="D13" s="6">
        <f>SUMIFS('RAG Comparison'!$D:$D,'RAG Comparison'!$A:$A,$A13,'RAG Comparison'!$B:$B,D$12)</f>
        <v>0.92669999999999997</v>
      </c>
    </row>
    <row r="14" spans="1:4" x14ac:dyDescent="0.2">
      <c r="A14" t="s">
        <v>21</v>
      </c>
      <c r="B14" s="6">
        <f>SUMIFS('RAG Comparison'!$D:$D,'RAG Comparison'!$A:$A,$A14,'RAG Comparison'!$B:$B,B$12)</f>
        <v>0.9163</v>
      </c>
      <c r="C14" s="6">
        <f>SUMIFS('RAG Comparison'!$D:$D,'RAG Comparison'!$A:$A,$A14,'RAG Comparison'!$B:$B,C$12)</f>
        <v>0.90869999999999995</v>
      </c>
      <c r="D14" s="6">
        <f>SUMIFS('RAG Comparison'!$D:$D,'RAG Comparison'!$A:$A,$A14,'RAG Comparison'!$B:$B,D$12)</f>
        <v>0.91259999999999997</v>
      </c>
    </row>
    <row r="15" spans="1:4" x14ac:dyDescent="0.2">
      <c r="A15" t="s">
        <v>22</v>
      </c>
      <c r="B15" s="6">
        <f>SUMIFS('RAG Comparison'!$D:$D,'RAG Comparison'!$A:$A,$A15,'RAG Comparison'!$B:$B,B$12)</f>
        <v>0.9667</v>
      </c>
      <c r="C15" s="6">
        <f>SUMIFS('RAG Comparison'!$D:$D,'RAG Comparison'!$A:$A,$A15,'RAG Comparison'!$B:$B,C$12)</f>
        <v>0.66</v>
      </c>
      <c r="D15" s="6">
        <f>SUMIFS('RAG Comparison'!$D:$D,'RAG Comparison'!$A:$A,$A15,'RAG Comparison'!$B:$B,D$12)</f>
        <v>0.76670000000000005</v>
      </c>
    </row>
    <row r="16" spans="1:4" x14ac:dyDescent="0.2">
      <c r="A16" t="s">
        <v>23</v>
      </c>
      <c r="B16" s="6">
        <f>SUMIFS('RAG Comparison'!$D:$D,'RAG Comparison'!$A:$A,$A16,'RAG Comparison'!$B:$B,B$12)</f>
        <v>0.9667</v>
      </c>
      <c r="C16" s="6">
        <f>SUMIFS('RAG Comparison'!$D:$D,'RAG Comparison'!$A:$A,$A16,'RAG Comparison'!$B:$B,C$12)</f>
        <v>0.95330000000000004</v>
      </c>
      <c r="D16" s="6">
        <f>SUMIFS('RAG Comparison'!$D:$D,'RAG Comparison'!$A:$A,$A16,'RAG Comparison'!$B:$B,D$12)</f>
        <v>0.92669999999999997</v>
      </c>
    </row>
    <row r="19" spans="1:4" ht="16" x14ac:dyDescent="0.2">
      <c r="A19" s="4" t="s">
        <v>28</v>
      </c>
    </row>
    <row r="20" spans="1:4" x14ac:dyDescent="0.2">
      <c r="A20" s="5" t="s">
        <v>26</v>
      </c>
      <c r="B20" s="5" t="s">
        <v>18</v>
      </c>
      <c r="C20" s="5" t="s">
        <v>19</v>
      </c>
      <c r="D20" s="5" t="s">
        <v>20</v>
      </c>
    </row>
    <row r="21" spans="1:4" x14ac:dyDescent="0.2">
      <c r="A21" t="s">
        <v>17</v>
      </c>
      <c r="B21" s="6">
        <f>SUMIFS('RAG Comparison'!$F:$F,'RAG Comparison'!$A:$A,$A21,'RAG Comparison'!$B:$B,B$20)</f>
        <v>0.9</v>
      </c>
      <c r="C21" s="6">
        <f>SUMIFS('RAG Comparison'!$F:$F,'RAG Comparison'!$A:$A,$A21,'RAG Comparison'!$B:$B,C$20)</f>
        <v>0.86</v>
      </c>
      <c r="D21" s="6">
        <f>SUMIFS('RAG Comparison'!$F:$F,'RAG Comparison'!$A:$A,$A21,'RAG Comparison'!$B:$B,D$20)</f>
        <v>0.89</v>
      </c>
    </row>
    <row r="22" spans="1:4" x14ac:dyDescent="0.2">
      <c r="A22" t="s">
        <v>21</v>
      </c>
      <c r="B22" s="6">
        <f>SUMIFS('RAG Comparison'!$F:$F,'RAG Comparison'!$A:$A,$A22,'RAG Comparison'!$B:$B,B$20)</f>
        <v>0.93</v>
      </c>
      <c r="C22" s="6">
        <f>SUMIFS('RAG Comparison'!$F:$F,'RAG Comparison'!$A:$A,$A22,'RAG Comparison'!$B:$B,C$20)</f>
        <v>0.93</v>
      </c>
      <c r="D22" s="6">
        <f>SUMIFS('RAG Comparison'!$F:$F,'RAG Comparison'!$A:$A,$A22,'RAG Comparison'!$B:$B,D$20)</f>
        <v>0.96</v>
      </c>
    </row>
    <row r="23" spans="1:4" x14ac:dyDescent="0.2">
      <c r="A23" t="s">
        <v>22</v>
      </c>
      <c r="B23" s="6">
        <f>SUMIFS('RAG Comparison'!$F:$F,'RAG Comparison'!$A:$A,$A23,'RAG Comparison'!$B:$B,B$20)</f>
        <v>0.94</v>
      </c>
      <c r="C23" s="6">
        <f>SUMIFS('RAG Comparison'!$F:$F,'RAG Comparison'!$A:$A,$A23,'RAG Comparison'!$B:$B,C$20)</f>
        <v>0.77</v>
      </c>
      <c r="D23" s="6">
        <f>SUMIFS('RAG Comparison'!$F:$F,'RAG Comparison'!$A:$A,$A23,'RAG Comparison'!$B:$B,D$20)</f>
        <v>0.83</v>
      </c>
    </row>
    <row r="24" spans="1:4" x14ac:dyDescent="0.2">
      <c r="A24" t="s">
        <v>23</v>
      </c>
      <c r="B24" s="6">
        <f>SUMIFS('RAG Comparison'!$F:$F,'RAG Comparison'!$A:$A,$A24,'RAG Comparison'!$B:$B,B$20)</f>
        <v>0.96</v>
      </c>
      <c r="C24" s="6">
        <f>SUMIFS('RAG Comparison'!$F:$F,'RAG Comparison'!$A:$A,$A24,'RAG Comparison'!$B:$B,C$20)</f>
        <v>0.96</v>
      </c>
      <c r="D24" s="6">
        <f>SUMIFS('RAG Comparison'!$F:$F,'RAG Comparison'!$A:$A,$A24,'RAG Comparison'!$B:$B,D$20)</f>
        <v>0.94</v>
      </c>
    </row>
    <row r="27" spans="1:4" ht="16" x14ac:dyDescent="0.2">
      <c r="A27" s="4" t="s">
        <v>29</v>
      </c>
    </row>
    <row r="28" spans="1:4" x14ac:dyDescent="0.2">
      <c r="A28" s="5" t="s">
        <v>26</v>
      </c>
      <c r="B28" s="5" t="s">
        <v>18</v>
      </c>
      <c r="C28" s="5" t="s">
        <v>19</v>
      </c>
      <c r="D28" s="5" t="s">
        <v>20</v>
      </c>
    </row>
    <row r="29" spans="1:4" x14ac:dyDescent="0.2">
      <c r="A29" t="s">
        <v>17</v>
      </c>
      <c r="B29" s="7">
        <f>SUMIFS('RAG Comparison'!$E:$E,'RAG Comparison'!$A:$A,$A29,'RAG Comparison'!$B:$B,B$28)</f>
        <v>5</v>
      </c>
      <c r="C29" s="7">
        <f>SUMIFS('RAG Comparison'!$E:$E,'RAG Comparison'!$A:$A,$A29,'RAG Comparison'!$B:$B,C$28)</f>
        <v>4.8</v>
      </c>
      <c r="D29" s="7">
        <f>SUMIFS('RAG Comparison'!$E:$E,'RAG Comparison'!$A:$A,$A29,'RAG Comparison'!$B:$B,D$28)</f>
        <v>4.84</v>
      </c>
    </row>
    <row r="30" spans="1:4" x14ac:dyDescent="0.2">
      <c r="A30" t="s">
        <v>21</v>
      </c>
      <c r="B30" s="7">
        <f>SUMIFS('RAG Comparison'!$E:$E,'RAG Comparison'!$A:$A,$A30,'RAG Comparison'!$B:$B,B$28)</f>
        <v>5</v>
      </c>
      <c r="C30" s="7">
        <f>SUMIFS('RAG Comparison'!$E:$E,'RAG Comparison'!$A:$A,$A30,'RAG Comparison'!$B:$B,C$28)</f>
        <v>4.8</v>
      </c>
      <c r="D30" s="7">
        <f>SUMIFS('RAG Comparison'!$E:$E,'RAG Comparison'!$A:$A,$A30,'RAG Comparison'!$B:$B,D$28)</f>
        <v>5</v>
      </c>
    </row>
    <row r="31" spans="1:4" x14ac:dyDescent="0.2">
      <c r="A31" t="s">
        <v>22</v>
      </c>
      <c r="B31" s="7">
        <f>SUMIFS('RAG Comparison'!$E:$E,'RAG Comparison'!$A:$A,$A31,'RAG Comparison'!$B:$B,B$28)</f>
        <v>4.96</v>
      </c>
      <c r="C31" s="7">
        <f>SUMIFS('RAG Comparison'!$E:$E,'RAG Comparison'!$A:$A,$A31,'RAG Comparison'!$B:$B,C$28)</f>
        <v>4.6399999999999997</v>
      </c>
      <c r="D31" s="7">
        <f>SUMIFS('RAG Comparison'!$E:$E,'RAG Comparison'!$A:$A,$A31,'RAG Comparison'!$B:$B,D$28)</f>
        <v>4.72</v>
      </c>
    </row>
    <row r="32" spans="1:4" x14ac:dyDescent="0.2">
      <c r="A32" t="s">
        <v>23</v>
      </c>
      <c r="B32" s="7">
        <f>SUMIFS('RAG Comparison'!$E:$E,'RAG Comparison'!$A:$A,$A32,'RAG Comparison'!$B:$B,B$28)</f>
        <v>5</v>
      </c>
      <c r="C32" s="7">
        <f>SUMIFS('RAG Comparison'!$E:$E,'RAG Comparison'!$A:$A,$A32,'RAG Comparison'!$B:$B,C$28)</f>
        <v>5</v>
      </c>
      <c r="D32" s="7">
        <f>SUMIFS('RAG Comparison'!$E:$E,'RAG Comparison'!$A:$A,$A32,'RAG Comparison'!$B:$B,D$28)</f>
        <v>4.96</v>
      </c>
    </row>
    <row r="35" spans="1:4" ht="16" x14ac:dyDescent="0.2">
      <c r="A35" s="4" t="s">
        <v>30</v>
      </c>
    </row>
    <row r="36" spans="1:4" x14ac:dyDescent="0.2">
      <c r="A36" s="5" t="s">
        <v>26</v>
      </c>
      <c r="B36" s="5" t="s">
        <v>18</v>
      </c>
      <c r="C36" s="5" t="s">
        <v>19</v>
      </c>
      <c r="D36" s="5" t="s">
        <v>20</v>
      </c>
    </row>
    <row r="37" spans="1:4" x14ac:dyDescent="0.2">
      <c r="A37" t="s">
        <v>17</v>
      </c>
      <c r="B37" s="6">
        <f>SUMIFS('RAG Comparison'!$G:$G,'RAG Comparison'!$A:$A,$A37,'RAG Comparison'!$B:$B,B$36)</f>
        <v>0.48159999999999997</v>
      </c>
      <c r="C37" s="6">
        <f>SUMIFS('RAG Comparison'!$G:$G,'RAG Comparison'!$A:$A,$A37,'RAG Comparison'!$B:$B,C$36)</f>
        <v>0.45760000000000001</v>
      </c>
      <c r="D37" s="6">
        <f>SUMIFS('RAG Comparison'!$G:$G,'RAG Comparison'!$A:$A,$A37,'RAG Comparison'!$B:$B,D$36)</f>
        <v>0.48080000000000001</v>
      </c>
    </row>
    <row r="38" spans="1:4" x14ac:dyDescent="0.2">
      <c r="A38" t="s">
        <v>21</v>
      </c>
      <c r="B38" s="6">
        <f>SUMIFS('RAG Comparison'!$G:$G,'RAG Comparison'!$A:$A,$A38,'RAG Comparison'!$B:$B,B$36)</f>
        <v>0.48359999999999997</v>
      </c>
      <c r="C38" s="6">
        <f>SUMIFS('RAG Comparison'!$G:$G,'RAG Comparison'!$A:$A,$A38,'RAG Comparison'!$B:$B,C$36)</f>
        <v>0.48799999999999999</v>
      </c>
      <c r="D38" s="6">
        <f>SUMIFS('RAG Comparison'!$G:$G,'RAG Comparison'!$A:$A,$A38,'RAG Comparison'!$B:$B,D$36)</f>
        <v>0.50439999999999996</v>
      </c>
    </row>
    <row r="39" spans="1:4" x14ac:dyDescent="0.2">
      <c r="A39" t="s">
        <v>22</v>
      </c>
      <c r="B39" s="6">
        <f>SUMIFS('RAG Comparison'!$G:$G,'RAG Comparison'!$A:$A,$A39,'RAG Comparison'!$B:$B,B$36)</f>
        <v>0.4108</v>
      </c>
      <c r="C39" s="6">
        <f>SUMIFS('RAG Comparison'!$G:$G,'RAG Comparison'!$A:$A,$A39,'RAG Comparison'!$B:$B,C$36)</f>
        <v>0.38319999999999999</v>
      </c>
      <c r="D39" s="6">
        <f>SUMIFS('RAG Comparison'!$G:$G,'RAG Comparison'!$A:$A,$A39,'RAG Comparison'!$B:$B,D$36)</f>
        <v>0.4052</v>
      </c>
    </row>
    <row r="40" spans="1:4" x14ac:dyDescent="0.2">
      <c r="A40" t="s">
        <v>23</v>
      </c>
      <c r="B40" s="6">
        <f>SUMIFS('RAG Comparison'!$G:$G,'RAG Comparison'!$A:$A,$A40,'RAG Comparison'!$B:$B,B$36)</f>
        <v>0.59160000000000001</v>
      </c>
      <c r="C40" s="6">
        <f>SUMIFS('RAG Comparison'!$G:$G,'RAG Comparison'!$A:$A,$A40,'RAG Comparison'!$B:$B,C$36)</f>
        <v>0.59040000000000004</v>
      </c>
      <c r="D40" s="6">
        <f>SUMIFS('RAG Comparison'!$G:$G,'RAG Comparison'!$A:$A,$A40,'RAG Comparison'!$B:$B,D$36)</f>
        <v>0.61439999999999995</v>
      </c>
    </row>
    <row r="43" spans="1:4" ht="16" x14ac:dyDescent="0.2">
      <c r="A43" s="4" t="s">
        <v>31</v>
      </c>
    </row>
    <row r="44" spans="1:4" x14ac:dyDescent="0.2">
      <c r="A44" s="5" t="s">
        <v>26</v>
      </c>
      <c r="B44" s="5" t="s">
        <v>18</v>
      </c>
      <c r="C44" s="5" t="s">
        <v>19</v>
      </c>
      <c r="D44" s="5" t="s">
        <v>20</v>
      </c>
    </row>
    <row r="45" spans="1:4" x14ac:dyDescent="0.2">
      <c r="A45" t="s">
        <v>17</v>
      </c>
      <c r="B45" s="8">
        <f>SUMIFS('RAG Comparison'!$L:$L,'RAG Comparison'!$A:$A,$A45,'RAG Comparison'!$B:$B,B$44)</f>
        <v>5.8500000000000002E-4</v>
      </c>
      <c r="C45" s="8">
        <f>SUMIFS('RAG Comparison'!$L:$L,'RAG Comparison'!$A:$A,$A45,'RAG Comparison'!$B:$B,C$44)</f>
        <v>7.27E-4</v>
      </c>
      <c r="D45" s="8">
        <f>SUMIFS('RAG Comparison'!$L:$L,'RAG Comparison'!$A:$A,$A45,'RAG Comparison'!$B:$B,D$44)</f>
        <v>7.67E-4</v>
      </c>
    </row>
    <row r="46" spans="1:4" x14ac:dyDescent="0.2">
      <c r="A46" t="s">
        <v>21</v>
      </c>
      <c r="B46" s="8">
        <f>SUMIFS('RAG Comparison'!$L:$L,'RAG Comparison'!$A:$A,$A46,'RAG Comparison'!$B:$B,B$44)</f>
        <v>9.68E-4</v>
      </c>
      <c r="C46" s="8">
        <f>SUMIFS('RAG Comparison'!$L:$L,'RAG Comparison'!$A:$A,$A46,'RAG Comparison'!$B:$B,C$44)</f>
        <v>8.34E-4</v>
      </c>
      <c r="D46" s="8">
        <f>SUMIFS('RAG Comparison'!$L:$L,'RAG Comparison'!$A:$A,$A46,'RAG Comparison'!$B:$B,D$44)</f>
        <v>8.9599999999999999E-4</v>
      </c>
    </row>
    <row r="47" spans="1:4" x14ac:dyDescent="0.2">
      <c r="A47" t="s">
        <v>22</v>
      </c>
      <c r="B47" s="8">
        <f>SUMIFS('RAG Comparison'!$L:$L,'RAG Comparison'!$A:$A,$A47,'RAG Comparison'!$B:$B,B$44)</f>
        <v>1.024E-3</v>
      </c>
      <c r="C47" s="8">
        <f>SUMIFS('RAG Comparison'!$L:$L,'RAG Comparison'!$A:$A,$A47,'RAG Comparison'!$B:$B,C$44)</f>
        <v>8.61E-4</v>
      </c>
      <c r="D47" s="8">
        <f>SUMIFS('RAG Comparison'!$L:$L,'RAG Comparison'!$A:$A,$A47,'RAG Comparison'!$B:$B,D$44)</f>
        <v>9.19E-4</v>
      </c>
    </row>
    <row r="48" spans="1:4" x14ac:dyDescent="0.2">
      <c r="A48" t="s">
        <v>23</v>
      </c>
      <c r="B48" s="8">
        <f>SUMIFS('RAG Comparison'!$L:$L,'RAG Comparison'!$A:$A,$A48,'RAG Comparison'!$B:$B,B$44)</f>
        <v>9.01E-4</v>
      </c>
      <c r="C48" s="8">
        <f>SUMIFS('RAG Comparison'!$L:$L,'RAG Comparison'!$A:$A,$A48,'RAG Comparison'!$B:$B,C$44)</f>
        <v>8.4500000000000005E-4</v>
      </c>
      <c r="D48" s="8">
        <f>SUMIFS('RAG Comparison'!$L:$L,'RAG Comparison'!$A:$A,$A48,'RAG Comparison'!$B:$B,D$44)</f>
        <v>8.6899999999999998E-4</v>
      </c>
    </row>
    <row r="51" spans="1:4" ht="16" x14ac:dyDescent="0.2">
      <c r="A51" s="4" t="s">
        <v>32</v>
      </c>
    </row>
    <row r="52" spans="1:4" x14ac:dyDescent="0.2">
      <c r="A52" s="5" t="s">
        <v>26</v>
      </c>
      <c r="B52" s="5" t="s">
        <v>18</v>
      </c>
      <c r="C52" s="5" t="s">
        <v>19</v>
      </c>
      <c r="D52" s="5" t="s">
        <v>20</v>
      </c>
    </row>
    <row r="53" spans="1:4" x14ac:dyDescent="0.2">
      <c r="A53" t="s">
        <v>17</v>
      </c>
      <c r="B53" s="8">
        <f>SUMIFS('RAG Comparison'!$P:$P,'RAG Comparison'!$A:$A,$A53,'RAG Comparison'!$B:$B,B$52)</f>
        <v>5.8500000000000002E-4</v>
      </c>
      <c r="C53" s="8">
        <f>SUMIFS('RAG Comparison'!$P:$P,'RAG Comparison'!$A:$A,$A53,'RAG Comparison'!$B:$B,C$52)</f>
        <v>7.27E-4</v>
      </c>
      <c r="D53" s="8">
        <f>SUMIFS('RAG Comparison'!$P:$P,'RAG Comparison'!$A:$A,$A53,'RAG Comparison'!$B:$B,D$52)</f>
        <v>7.67E-4</v>
      </c>
    </row>
    <row r="54" spans="1:4" x14ac:dyDescent="0.2">
      <c r="A54" t="s">
        <v>21</v>
      </c>
      <c r="B54" s="8">
        <f>SUMIFS('RAG Comparison'!$P:$P,'RAG Comparison'!$A:$A,$A54,'RAG Comparison'!$B:$B,B$52)</f>
        <v>9.68E-4</v>
      </c>
      <c r="C54" s="8">
        <f>SUMIFS('RAG Comparison'!$P:$P,'RAG Comparison'!$A:$A,$A54,'RAG Comparison'!$B:$B,C$52)</f>
        <v>8.34E-4</v>
      </c>
      <c r="D54" s="8">
        <f>SUMIFS('RAG Comparison'!$P:$P,'RAG Comparison'!$A:$A,$A54,'RAG Comparison'!$B:$B,D$52)</f>
        <v>8.9599999999999999E-4</v>
      </c>
    </row>
    <row r="55" spans="1:4" x14ac:dyDescent="0.2">
      <c r="A55" t="s">
        <v>22</v>
      </c>
      <c r="B55" s="8">
        <f>SUMIFS('RAG Comparison'!$P:$P,'RAG Comparison'!$A:$A,$A55,'RAG Comparison'!$B:$B,B$52)</f>
        <v>1.024E-3</v>
      </c>
      <c r="C55" s="8">
        <f>SUMIFS('RAG Comparison'!$P:$P,'RAG Comparison'!$A:$A,$A55,'RAG Comparison'!$B:$B,C$52)</f>
        <v>8.61E-4</v>
      </c>
      <c r="D55" s="8">
        <f>SUMIFS('RAG Comparison'!$P:$P,'RAG Comparison'!$A:$A,$A55,'RAG Comparison'!$B:$B,D$52)</f>
        <v>9.19E-4</v>
      </c>
    </row>
    <row r="56" spans="1:4" x14ac:dyDescent="0.2">
      <c r="A56" t="s">
        <v>23</v>
      </c>
      <c r="B56" s="8">
        <f>SUMIFS('RAG Comparison'!$P:$P,'RAG Comparison'!$A:$A,$A56,'RAG Comparison'!$B:$B,B$52)</f>
        <v>9.01E-4</v>
      </c>
      <c r="C56" s="8">
        <f>SUMIFS('RAG Comparison'!$P:$P,'RAG Comparison'!$A:$A,$A56,'RAG Comparison'!$B:$B,C$52)</f>
        <v>8.4500000000000005E-4</v>
      </c>
      <c r="D56" s="8">
        <f>SUMIFS('RAG Comparison'!$P:$P,'RAG Comparison'!$A:$A,$A56,'RAG Comparison'!$B:$B,D$52)</f>
        <v>8.6899999999999998E-4</v>
      </c>
    </row>
    <row r="59" spans="1:4" ht="16" x14ac:dyDescent="0.2">
      <c r="A59" s="4" t="s">
        <v>33</v>
      </c>
    </row>
    <row r="60" spans="1:4" x14ac:dyDescent="0.2">
      <c r="A60" s="5" t="s">
        <v>26</v>
      </c>
      <c r="B60" s="5" t="s">
        <v>18</v>
      </c>
      <c r="C60" s="5" t="s">
        <v>19</v>
      </c>
      <c r="D60" s="5" t="s">
        <v>20</v>
      </c>
    </row>
    <row r="61" spans="1:4" x14ac:dyDescent="0.2">
      <c r="A61" t="s">
        <v>17</v>
      </c>
      <c r="B61" s="9">
        <f>SUMIFS('RAG Comparison'!$M:$M,'RAG Comparison'!$A:$A,$A61,'RAG Comparison'!$B:$B,B$60)</f>
        <v>23163.68</v>
      </c>
      <c r="C61" s="9">
        <f>SUMIFS('RAG Comparison'!$M:$M,'RAG Comparison'!$A:$A,$A61,'RAG Comparison'!$B:$B,C$60)</f>
        <v>2154</v>
      </c>
      <c r="D61" s="9">
        <f>SUMIFS('RAG Comparison'!$M:$M,'RAG Comparison'!$A:$A,$A61,'RAG Comparison'!$B:$B,D$60)</f>
        <v>2287.6799999999998</v>
      </c>
    </row>
    <row r="62" spans="1:4" x14ac:dyDescent="0.2">
      <c r="A62" t="s">
        <v>21</v>
      </c>
      <c r="B62" s="9">
        <f>SUMIFS('RAG Comparison'!$M:$M,'RAG Comparison'!$A:$A,$A62,'RAG Comparison'!$B:$B,B$60)</f>
        <v>27078.880000000001</v>
      </c>
      <c r="C62" s="9">
        <f>SUMIFS('RAG Comparison'!$M:$M,'RAG Comparison'!$A:$A,$A62,'RAG Comparison'!$B:$B,C$60)</f>
        <v>2297.6</v>
      </c>
      <c r="D62" s="9">
        <f>SUMIFS('RAG Comparison'!$M:$M,'RAG Comparison'!$A:$A,$A62,'RAG Comparison'!$B:$B,D$60)</f>
        <v>2416.88</v>
      </c>
    </row>
    <row r="63" spans="1:4" x14ac:dyDescent="0.2">
      <c r="A63" t="s">
        <v>22</v>
      </c>
      <c r="B63" s="9">
        <f>SUMIFS('RAG Comparison'!$M:$M,'RAG Comparison'!$A:$A,$A63,'RAG Comparison'!$B:$B,B$60)</f>
        <v>26697.84</v>
      </c>
      <c r="C63" s="9">
        <f>SUMIFS('RAG Comparison'!$M:$M,'RAG Comparison'!$A:$A,$A63,'RAG Comparison'!$B:$B,C$60)</f>
        <v>2302.16</v>
      </c>
      <c r="D63" s="9">
        <f>SUMIFS('RAG Comparison'!$M:$M,'RAG Comparison'!$A:$A,$A63,'RAG Comparison'!$B:$B,D$60)</f>
        <v>2438.08</v>
      </c>
    </row>
    <row r="64" spans="1:4" x14ac:dyDescent="0.2">
      <c r="A64" t="s">
        <v>23</v>
      </c>
      <c r="B64" s="9">
        <f>SUMIFS('RAG Comparison'!$M:$M,'RAG Comparison'!$A:$A,$A64,'RAG Comparison'!$B:$B,B$60)</f>
        <v>29899.4</v>
      </c>
      <c r="C64" s="9">
        <f>SUMIFS('RAG Comparison'!$M:$M,'RAG Comparison'!$A:$A,$A64,'RAG Comparison'!$B:$B,C$60)</f>
        <v>2444.88</v>
      </c>
      <c r="D64" s="9">
        <f>SUMIFS('RAG Comparison'!$M:$M,'RAG Comparison'!$A:$A,$A64,'RAG Comparison'!$B:$B,D$60)</f>
        <v>2483.96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RAG Comparison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Sagun Devkota</cp:lastModifiedBy>
  <dcterms:created xsi:type="dcterms:W3CDTF">2026-08-11T17:06:37Z</dcterms:created>
  <dcterms:modified xsi:type="dcterms:W3CDTF">2026-08-11T17:15:16Z</dcterms:modified>
</cp:coreProperties>
</file>